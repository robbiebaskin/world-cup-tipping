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robbiebaskin/Downloads/"/>
    </mc:Choice>
  </mc:AlternateContent>
  <xr:revisionPtr revIDLastSave="0" documentId="13_ncr:1_{1354D292-BA07-FB45-88A3-5281D44DEAF8}" xr6:coauthVersionLast="47" xr6:coauthVersionMax="47" xr10:uidLastSave="{00000000-0000-0000-0000-000000000000}"/>
  <bookViews>
    <workbookView xWindow="34560" yWindow="600" windowWidth="38400" windowHeight="21000" activeTab="3" xr2:uid="{00000000-000D-0000-FFFF-FFFF00000000}"/>
  </bookViews>
  <sheets>
    <sheet name="Form" sheetId="1" state="hidden" r:id="rId1"/>
    <sheet name="Results" sheetId="2" r:id="rId2"/>
    <sheet name="Entries" sheetId="3" r:id="rId3"/>
    <sheet name="Ladder" sheetId="4" r:id="rId4"/>
  </sheets>
  <definedNames>
    <definedName name="_xlnm.Print_Area" localSheetId="0">Form!$A$1:$J$44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" i="4" l="1"/>
  <c r="B56" i="4"/>
  <c r="B42" i="4"/>
  <c r="B38" i="4"/>
  <c r="B9" i="4"/>
  <c r="B57" i="4"/>
  <c r="B4" i="4"/>
  <c r="B29" i="4"/>
  <c r="B39" i="4"/>
  <c r="B35" i="4"/>
  <c r="B62" i="4"/>
  <c r="B36" i="4"/>
  <c r="B55" i="4"/>
  <c r="B47" i="4"/>
  <c r="B63" i="4"/>
  <c r="B52" i="4"/>
  <c r="B32" i="4"/>
  <c r="B49" i="4"/>
  <c r="B33" i="4"/>
  <c r="B54" i="4"/>
  <c r="B8" i="4"/>
  <c r="B37" i="4"/>
  <c r="B22" i="4"/>
  <c r="B16" i="4"/>
  <c r="B28" i="4"/>
  <c r="B2" i="4"/>
  <c r="B11" i="4"/>
  <c r="B46" i="4"/>
  <c r="B58" i="4"/>
  <c r="B50" i="4"/>
  <c r="B6" i="4"/>
  <c r="B40" i="4"/>
  <c r="B53" i="4"/>
  <c r="B18" i="4"/>
  <c r="B19" i="4"/>
  <c r="B43" i="4"/>
  <c r="B17" i="4"/>
  <c r="B26" i="4"/>
  <c r="B51" i="4"/>
  <c r="B27" i="4"/>
  <c r="B45" i="4"/>
  <c r="B15" i="4"/>
  <c r="B48" i="4"/>
  <c r="B25" i="4"/>
  <c r="B61" i="4"/>
  <c r="B10" i="4"/>
  <c r="B5" i="4"/>
  <c r="B13" i="4"/>
  <c r="B64" i="4"/>
  <c r="B20" i="4"/>
  <c r="B44" i="4"/>
  <c r="B30" i="4"/>
  <c r="B31" i="4"/>
  <c r="B21" i="4"/>
  <c r="B14" i="4"/>
  <c r="B59" i="4"/>
  <c r="B3" i="4"/>
  <c r="B41" i="4"/>
  <c r="B24" i="4"/>
  <c r="B34" i="4"/>
  <c r="B23" i="4"/>
  <c r="B7" i="4"/>
  <c r="B12" i="4"/>
  <c r="O61" i="2"/>
  <c r="O60" i="2"/>
  <c r="O59" i="2"/>
  <c r="O58" i="2"/>
  <c r="O56" i="2"/>
  <c r="O55" i="2"/>
  <c r="O54" i="2"/>
  <c r="O53" i="2"/>
  <c r="O51" i="2"/>
  <c r="O50" i="2"/>
  <c r="O49" i="2"/>
  <c r="O48" i="2"/>
  <c r="O46" i="2"/>
  <c r="O45" i="2"/>
  <c r="O44" i="2"/>
  <c r="O43" i="2"/>
  <c r="O41" i="2"/>
  <c r="O40" i="2"/>
  <c r="O39" i="2"/>
  <c r="O38" i="2"/>
  <c r="O36" i="2"/>
  <c r="O35" i="2"/>
  <c r="O34" i="2"/>
  <c r="O33" i="2"/>
  <c r="AV356" i="3" l="1"/>
  <c r="AR356" i="3"/>
  <c r="AN356" i="3"/>
  <c r="AJ356" i="3"/>
  <c r="AV355" i="3"/>
  <c r="AR355" i="3"/>
  <c r="AN355" i="3"/>
  <c r="AJ355" i="3"/>
  <c r="AV354" i="3"/>
  <c r="AR354" i="3"/>
  <c r="AN354" i="3"/>
  <c r="AJ354" i="3"/>
  <c r="AV353" i="3"/>
  <c r="AR353" i="3"/>
  <c r="AN353" i="3"/>
  <c r="AJ353" i="3"/>
  <c r="AE356" i="3"/>
  <c r="AA356" i="3"/>
  <c r="W356" i="3"/>
  <c r="S356" i="3"/>
  <c r="N356" i="3"/>
  <c r="J356" i="3"/>
  <c r="F356" i="3"/>
  <c r="B356" i="3"/>
  <c r="AE355" i="3"/>
  <c r="AA355" i="3"/>
  <c r="W355" i="3"/>
  <c r="S355" i="3"/>
  <c r="N355" i="3"/>
  <c r="J355" i="3"/>
  <c r="F355" i="3"/>
  <c r="B355" i="3"/>
  <c r="AE354" i="3"/>
  <c r="AA354" i="3"/>
  <c r="W354" i="3"/>
  <c r="S354" i="3"/>
  <c r="N354" i="3"/>
  <c r="J354" i="3"/>
  <c r="F354" i="3"/>
  <c r="B354" i="3"/>
  <c r="AE353" i="3"/>
  <c r="AA353" i="3"/>
  <c r="W353" i="3"/>
  <c r="S353" i="3"/>
  <c r="N353" i="3"/>
  <c r="J353" i="3"/>
  <c r="F353" i="3"/>
  <c r="B353" i="3"/>
  <c r="AV339" i="3"/>
  <c r="AR339" i="3"/>
  <c r="AN339" i="3"/>
  <c r="AJ339" i="3"/>
  <c r="AE339" i="3"/>
  <c r="AA339" i="3"/>
  <c r="W339" i="3"/>
  <c r="S339" i="3"/>
  <c r="N339" i="3"/>
  <c r="J339" i="3"/>
  <c r="F339" i="3"/>
  <c r="B339" i="3"/>
  <c r="AV338" i="3"/>
  <c r="AR338" i="3"/>
  <c r="AN338" i="3"/>
  <c r="AJ338" i="3"/>
  <c r="AE338" i="3"/>
  <c r="AA338" i="3"/>
  <c r="W338" i="3"/>
  <c r="S338" i="3"/>
  <c r="N338" i="3"/>
  <c r="J338" i="3"/>
  <c r="F338" i="3"/>
  <c r="B338" i="3"/>
  <c r="AV337" i="3"/>
  <c r="AR337" i="3"/>
  <c r="AN337" i="3"/>
  <c r="AJ337" i="3"/>
  <c r="AE337" i="3"/>
  <c r="AA337" i="3"/>
  <c r="W337" i="3"/>
  <c r="S337" i="3"/>
  <c r="N337" i="3"/>
  <c r="J337" i="3"/>
  <c r="F337" i="3"/>
  <c r="B337" i="3"/>
  <c r="F201" i="3"/>
  <c r="J200" i="3"/>
  <c r="N184" i="3"/>
  <c r="N30" i="3"/>
  <c r="B16" i="3"/>
  <c r="AV336" i="3"/>
  <c r="AR336" i="3"/>
  <c r="AN336" i="3"/>
  <c r="AJ336" i="3"/>
  <c r="AE336" i="3"/>
  <c r="AA336" i="3"/>
  <c r="W336" i="3"/>
  <c r="S336" i="3"/>
  <c r="N336" i="3"/>
  <c r="J336" i="3"/>
  <c r="F336" i="3"/>
  <c r="B336" i="3"/>
  <c r="AV322" i="3"/>
  <c r="AR322" i="3"/>
  <c r="AN322" i="3"/>
  <c r="AJ322" i="3"/>
  <c r="AV321" i="3"/>
  <c r="AR321" i="3"/>
  <c r="AN321" i="3"/>
  <c r="AJ321" i="3"/>
  <c r="AV320" i="3"/>
  <c r="AR320" i="3"/>
  <c r="AN320" i="3"/>
  <c r="AJ320" i="3"/>
  <c r="AV319" i="3"/>
  <c r="AR319" i="3"/>
  <c r="AN319" i="3"/>
  <c r="AJ319" i="3"/>
  <c r="AE322" i="3"/>
  <c r="AA322" i="3"/>
  <c r="W322" i="3"/>
  <c r="S322" i="3"/>
  <c r="AE321" i="3"/>
  <c r="AA321" i="3"/>
  <c r="W321" i="3"/>
  <c r="S321" i="3"/>
  <c r="AE320" i="3"/>
  <c r="AA320" i="3"/>
  <c r="W320" i="3"/>
  <c r="S320" i="3"/>
  <c r="AE319" i="3"/>
  <c r="AA319" i="3"/>
  <c r="W319" i="3"/>
  <c r="S319" i="3"/>
  <c r="N322" i="3"/>
  <c r="J322" i="3"/>
  <c r="F322" i="3"/>
  <c r="B322" i="3"/>
  <c r="N321" i="3"/>
  <c r="J321" i="3"/>
  <c r="F321" i="3"/>
  <c r="B321" i="3"/>
  <c r="N320" i="3"/>
  <c r="J320" i="3"/>
  <c r="F320" i="3"/>
  <c r="B320" i="3"/>
  <c r="N319" i="3"/>
  <c r="J319" i="3"/>
  <c r="F319" i="3"/>
  <c r="B319" i="3"/>
  <c r="AV305" i="3"/>
  <c r="AR305" i="3"/>
  <c r="AN305" i="3"/>
  <c r="AJ305" i="3"/>
  <c r="AV304" i="3"/>
  <c r="AR304" i="3"/>
  <c r="AN304" i="3"/>
  <c r="AJ304" i="3"/>
  <c r="AV303" i="3"/>
  <c r="AR303" i="3"/>
  <c r="AN303" i="3"/>
  <c r="AJ303" i="3"/>
  <c r="AV302" i="3"/>
  <c r="AR302" i="3"/>
  <c r="AN302" i="3"/>
  <c r="AJ302" i="3"/>
  <c r="AE305" i="3"/>
  <c r="AA305" i="3"/>
  <c r="W305" i="3"/>
  <c r="S305" i="3"/>
  <c r="AE304" i="3"/>
  <c r="AA304" i="3"/>
  <c r="W304" i="3"/>
  <c r="S304" i="3"/>
  <c r="AE303" i="3"/>
  <c r="AA303" i="3"/>
  <c r="W303" i="3"/>
  <c r="B286" i="3"/>
  <c r="AV285" i="3"/>
  <c r="AN285" i="3"/>
  <c r="AJ285" i="3"/>
  <c r="AA285" i="3"/>
  <c r="S285" i="3"/>
  <c r="F285" i="3"/>
  <c r="AR271" i="3"/>
  <c r="AJ271" i="3"/>
  <c r="AA271" i="3"/>
  <c r="J271" i="3"/>
  <c r="F271" i="3"/>
  <c r="AA253" i="3"/>
  <c r="S253" i="3"/>
  <c r="J253" i="3"/>
  <c r="B253" i="3"/>
  <c r="AN252" i="3"/>
  <c r="AJ252" i="3"/>
  <c r="W252" i="3"/>
  <c r="N252" i="3"/>
  <c r="F252" i="3"/>
  <c r="AR251" i="3"/>
  <c r="AE251" i="3"/>
  <c r="S251" i="3"/>
  <c r="F251" i="3"/>
  <c r="B251" i="3"/>
  <c r="AR237" i="3"/>
  <c r="AV236" i="3"/>
  <c r="AR236" i="3"/>
  <c r="AJ236" i="3"/>
  <c r="J220" i="3"/>
  <c r="B217" i="3"/>
  <c r="B203" i="3"/>
  <c r="F200" i="3"/>
  <c r="F186" i="3"/>
  <c r="J183" i="3"/>
  <c r="J33" i="3"/>
  <c r="J32" i="3"/>
  <c r="N31" i="3"/>
  <c r="S303" i="3"/>
  <c r="AE302" i="3"/>
  <c r="AA302" i="3"/>
  <c r="W302" i="3"/>
  <c r="S302" i="3"/>
  <c r="N305" i="3"/>
  <c r="J305" i="3"/>
  <c r="F305" i="3"/>
  <c r="B305" i="3"/>
  <c r="N304" i="3"/>
  <c r="J304" i="3"/>
  <c r="F304" i="3"/>
  <c r="B304" i="3"/>
  <c r="N303" i="3"/>
  <c r="J303" i="3"/>
  <c r="F303" i="3"/>
  <c r="B303" i="3"/>
  <c r="N302" i="3"/>
  <c r="J302" i="3"/>
  <c r="F302" i="3"/>
  <c r="B302" i="3"/>
  <c r="AV288" i="3"/>
  <c r="AR288" i="3"/>
  <c r="AN288" i="3"/>
  <c r="AJ288" i="3"/>
  <c r="AE288" i="3"/>
  <c r="AA288" i="3"/>
  <c r="W288" i="3"/>
  <c r="S288" i="3"/>
  <c r="N288" i="3"/>
  <c r="J288" i="3"/>
  <c r="F288" i="3"/>
  <c r="B288" i="3"/>
  <c r="AV287" i="3"/>
  <c r="AR287" i="3"/>
  <c r="AN287" i="3"/>
  <c r="AJ287" i="3"/>
  <c r="AE287" i="3"/>
  <c r="AA287" i="3"/>
  <c r="W287" i="3"/>
  <c r="S287" i="3"/>
  <c r="N287" i="3"/>
  <c r="J287" i="3"/>
  <c r="F287" i="3"/>
  <c r="B287" i="3"/>
  <c r="AV286" i="3"/>
  <c r="AR286" i="3"/>
  <c r="AN286" i="3"/>
  <c r="AJ286" i="3"/>
  <c r="AE286" i="3"/>
  <c r="AA286" i="3"/>
  <c r="W286" i="3"/>
  <c r="S286" i="3"/>
  <c r="N286" i="3"/>
  <c r="J286" i="3"/>
  <c r="F286" i="3"/>
  <c r="AR285" i="3"/>
  <c r="AE285" i="3"/>
  <c r="W285" i="3"/>
  <c r="N285" i="3"/>
  <c r="J285" i="3"/>
  <c r="B285" i="3"/>
  <c r="AV271" i="3"/>
  <c r="AN271" i="3"/>
  <c r="AE271" i="3"/>
  <c r="W271" i="3"/>
  <c r="S271" i="3"/>
  <c r="N271" i="3"/>
  <c r="B271" i="3"/>
  <c r="AV270" i="3"/>
  <c r="N253" i="3"/>
  <c r="AR252" i="3"/>
  <c r="AA252" i="3"/>
  <c r="J252" i="3"/>
  <c r="AV251" i="3"/>
  <c r="AJ251" i="3"/>
  <c r="W251" i="3"/>
  <c r="J251" i="3"/>
  <c r="AV237" i="3"/>
  <c r="AJ237" i="3"/>
  <c r="N218" i="3"/>
  <c r="N202" i="3"/>
  <c r="J186" i="3"/>
  <c r="B185" i="3"/>
  <c r="J169" i="3"/>
  <c r="L169" i="3" s="1"/>
  <c r="J168" i="3"/>
  <c r="F16" i="3"/>
  <c r="AR270" i="3"/>
  <c r="AN270" i="3"/>
  <c r="AJ270" i="3"/>
  <c r="AE270" i="3"/>
  <c r="AA270" i="3"/>
  <c r="W270" i="3"/>
  <c r="S270" i="3"/>
  <c r="N270" i="3"/>
  <c r="J270" i="3"/>
  <c r="F270" i="3"/>
  <c r="B270" i="3"/>
  <c r="AV269" i="3"/>
  <c r="AR269" i="3"/>
  <c r="AN269" i="3"/>
  <c r="AJ269" i="3"/>
  <c r="AE269" i="3"/>
  <c r="AA269" i="3"/>
  <c r="W269" i="3"/>
  <c r="S269" i="3"/>
  <c r="N269" i="3"/>
  <c r="J269" i="3"/>
  <c r="F269" i="3"/>
  <c r="B269" i="3"/>
  <c r="AV268" i="3"/>
  <c r="AR268" i="3"/>
  <c r="AN268" i="3"/>
  <c r="AJ268" i="3"/>
  <c r="AE268" i="3"/>
  <c r="AA268" i="3"/>
  <c r="W268" i="3"/>
  <c r="S268" i="3"/>
  <c r="N268" i="3"/>
  <c r="J268" i="3"/>
  <c r="F268" i="3"/>
  <c r="B268" i="3"/>
  <c r="AV254" i="3"/>
  <c r="AR254" i="3"/>
  <c r="AN254" i="3"/>
  <c r="AJ254" i="3"/>
  <c r="AE254" i="3"/>
  <c r="AA254" i="3"/>
  <c r="W254" i="3"/>
  <c r="S254" i="3"/>
  <c r="N254" i="3"/>
  <c r="J254" i="3"/>
  <c r="F254" i="3"/>
  <c r="B254" i="3"/>
  <c r="AV253" i="3"/>
  <c r="AR253" i="3"/>
  <c r="AN253" i="3"/>
  <c r="AJ253" i="3"/>
  <c r="AE253" i="3"/>
  <c r="W253" i="3"/>
  <c r="F253" i="3"/>
  <c r="AV252" i="3"/>
  <c r="AE252" i="3"/>
  <c r="S252" i="3"/>
  <c r="B252" i="3"/>
  <c r="AN251" i="3"/>
  <c r="AA251" i="3"/>
  <c r="N251" i="3"/>
  <c r="AN237" i="3"/>
  <c r="AN236" i="3"/>
  <c r="N217" i="3"/>
  <c r="F217" i="3"/>
  <c r="F169" i="3"/>
  <c r="N32" i="3"/>
  <c r="B32" i="3"/>
  <c r="B30" i="3"/>
  <c r="AV235" i="3"/>
  <c r="AR235" i="3"/>
  <c r="AN235" i="3"/>
  <c r="AJ235" i="3"/>
  <c r="AV234" i="3"/>
  <c r="AR234" i="3"/>
  <c r="AN234" i="3"/>
  <c r="AJ234" i="3"/>
  <c r="AE237" i="3"/>
  <c r="AA237" i="3"/>
  <c r="W237" i="3"/>
  <c r="S237" i="3"/>
  <c r="AE236" i="3"/>
  <c r="AA236" i="3"/>
  <c r="W236" i="3"/>
  <c r="S236" i="3"/>
  <c r="AE235" i="3"/>
  <c r="AA235" i="3"/>
  <c r="W235" i="3"/>
  <c r="S235" i="3"/>
  <c r="AE234" i="3"/>
  <c r="AA234" i="3"/>
  <c r="W234" i="3"/>
  <c r="S234" i="3"/>
  <c r="N237" i="3"/>
  <c r="J237" i="3"/>
  <c r="F237" i="3"/>
  <c r="B237" i="3"/>
  <c r="N236" i="3"/>
  <c r="J236" i="3"/>
  <c r="F236" i="3"/>
  <c r="B236" i="3"/>
  <c r="N235" i="3"/>
  <c r="J235" i="3"/>
  <c r="F235" i="3"/>
  <c r="B235" i="3"/>
  <c r="N234" i="3"/>
  <c r="J234" i="3"/>
  <c r="F234" i="3"/>
  <c r="B234" i="3"/>
  <c r="AV220" i="3"/>
  <c r="AR220" i="3"/>
  <c r="AN220" i="3"/>
  <c r="AJ220" i="3"/>
  <c r="AV219" i="3"/>
  <c r="AR219" i="3"/>
  <c r="AN219" i="3"/>
  <c r="AJ219" i="3"/>
  <c r="AV218" i="3"/>
  <c r="AR218" i="3"/>
  <c r="AN218" i="3"/>
  <c r="AJ218" i="3"/>
  <c r="AJ152" i="3"/>
  <c r="AJ151" i="3"/>
  <c r="AR150" i="3"/>
  <c r="AJ150" i="3"/>
  <c r="AR149" i="3"/>
  <c r="AJ149" i="3"/>
  <c r="AR135" i="3"/>
  <c r="AN135" i="3"/>
  <c r="AR134" i="3"/>
  <c r="AJ134" i="3"/>
  <c r="AR133" i="3"/>
  <c r="AJ133" i="3"/>
  <c r="AL133" i="3" s="1"/>
  <c r="AV132" i="3"/>
  <c r="AR132" i="3"/>
  <c r="AN132" i="3"/>
  <c r="AJ132" i="3"/>
  <c r="AR118" i="3"/>
  <c r="AJ118" i="3"/>
  <c r="AN117" i="3"/>
  <c r="AN50" i="3"/>
  <c r="AR49" i="3"/>
  <c r="AN48" i="3"/>
  <c r="AR47" i="3"/>
  <c r="AV33" i="3"/>
  <c r="AR32" i="3"/>
  <c r="AR31" i="3"/>
  <c r="AV30" i="3"/>
  <c r="AJ30" i="3"/>
  <c r="AN16" i="3"/>
  <c r="W185" i="3"/>
  <c r="AA184" i="3"/>
  <c r="S184" i="3"/>
  <c r="AA183" i="3"/>
  <c r="W150" i="3"/>
  <c r="AA149" i="3"/>
  <c r="AE135" i="3"/>
  <c r="AE67" i="3"/>
  <c r="W67" i="3"/>
  <c r="AE66" i="3"/>
  <c r="W66" i="3"/>
  <c r="W64" i="3"/>
  <c r="W50" i="3"/>
  <c r="AE48" i="3"/>
  <c r="AA14" i="3"/>
  <c r="AA13" i="3"/>
  <c r="N220" i="3"/>
  <c r="B219" i="3"/>
  <c r="B218" i="3"/>
  <c r="J203" i="3"/>
  <c r="N201" i="3"/>
  <c r="N200" i="3"/>
  <c r="B200" i="3"/>
  <c r="B184" i="3"/>
  <c r="N33" i="3"/>
  <c r="F31" i="3"/>
  <c r="N14" i="3"/>
  <c r="J15" i="3"/>
  <c r="F13" i="3"/>
  <c r="B13" i="3"/>
  <c r="AV217" i="3"/>
  <c r="AX217" i="3" s="1"/>
  <c r="AR217" i="3"/>
  <c r="AN217" i="3"/>
  <c r="AJ217" i="3"/>
  <c r="AV203" i="3"/>
  <c r="AR203" i="3"/>
  <c r="AN203" i="3"/>
  <c r="AJ203" i="3"/>
  <c r="AV202" i="3"/>
  <c r="AR202" i="3"/>
  <c r="AN202" i="3"/>
  <c r="AJ202" i="3"/>
  <c r="AV201" i="3"/>
  <c r="AR201" i="3"/>
  <c r="AN201" i="3"/>
  <c r="AJ201" i="3"/>
  <c r="AV200" i="3"/>
  <c r="AR200" i="3"/>
  <c r="AN200" i="3"/>
  <c r="AJ200" i="3"/>
  <c r="AV186" i="3"/>
  <c r="AR186" i="3"/>
  <c r="AN186" i="3"/>
  <c r="AJ186" i="3"/>
  <c r="AV185" i="3"/>
  <c r="AR185" i="3"/>
  <c r="AN185" i="3"/>
  <c r="AJ185" i="3"/>
  <c r="AV184" i="3"/>
  <c r="AR184" i="3"/>
  <c r="AN184" i="3"/>
  <c r="AJ184" i="3"/>
  <c r="AV183" i="3"/>
  <c r="AR183" i="3"/>
  <c r="AN183" i="3"/>
  <c r="AJ183" i="3"/>
  <c r="AV169" i="3"/>
  <c r="AR169" i="3"/>
  <c r="AN169" i="3"/>
  <c r="AJ169" i="3"/>
  <c r="AV168" i="3"/>
  <c r="AR168" i="3"/>
  <c r="AN168" i="3"/>
  <c r="AJ168" i="3"/>
  <c r="AV167" i="3"/>
  <c r="AR167" i="3"/>
  <c r="AN167" i="3"/>
  <c r="AJ167" i="3"/>
  <c r="AV166" i="3"/>
  <c r="AR166" i="3"/>
  <c r="AN166" i="3"/>
  <c r="AJ166" i="3"/>
  <c r="AV152" i="3"/>
  <c r="AR152" i="3"/>
  <c r="AN152" i="3"/>
  <c r="AV151" i="3"/>
  <c r="AR151" i="3"/>
  <c r="AN151" i="3"/>
  <c r="AV150" i="3"/>
  <c r="AN150" i="3"/>
  <c r="AV149" i="3"/>
  <c r="AN149" i="3"/>
  <c r="AV135" i="3"/>
  <c r="AJ135" i="3"/>
  <c r="AV134" i="3"/>
  <c r="AN134" i="3"/>
  <c r="AV133" i="3"/>
  <c r="AN133" i="3"/>
  <c r="AV118" i="3"/>
  <c r="AN118" i="3"/>
  <c r="AV117" i="3"/>
  <c r="AR117" i="3"/>
  <c r="AJ117" i="3"/>
  <c r="AJ50" i="3"/>
  <c r="AN49" i="3"/>
  <c r="AV48" i="3"/>
  <c r="AV47" i="3"/>
  <c r="AJ47" i="3"/>
  <c r="AN33" i="3"/>
  <c r="AV32" i="3"/>
  <c r="AJ32" i="3"/>
  <c r="AN31" i="3"/>
  <c r="AR30" i="3"/>
  <c r="AV16" i="3"/>
  <c r="AE185" i="3"/>
  <c r="S150" i="3"/>
  <c r="W149" i="3"/>
  <c r="W81" i="3"/>
  <c r="AA67" i="3"/>
  <c r="S65" i="3"/>
  <c r="AA64" i="3"/>
  <c r="AA50" i="3"/>
  <c r="AE49" i="3"/>
  <c r="AA49" i="3"/>
  <c r="S13" i="3"/>
  <c r="B220" i="3"/>
  <c r="F219" i="3"/>
  <c r="J217" i="3"/>
  <c r="N203" i="3"/>
  <c r="F203" i="3"/>
  <c r="B202" i="3"/>
  <c r="J185" i="3"/>
  <c r="J184" i="3"/>
  <c r="N183" i="3"/>
  <c r="B183" i="3"/>
  <c r="F168" i="3"/>
  <c r="J47" i="3"/>
  <c r="F33" i="3"/>
  <c r="J16" i="3"/>
  <c r="J13" i="3"/>
  <c r="F15" i="3"/>
  <c r="B14" i="3"/>
  <c r="AV116" i="3"/>
  <c r="AR116" i="3"/>
  <c r="AN116" i="3"/>
  <c r="AJ116" i="3"/>
  <c r="AV115" i="3"/>
  <c r="AR115" i="3"/>
  <c r="AN115" i="3"/>
  <c r="AJ115" i="3"/>
  <c r="AV101" i="3"/>
  <c r="AR101" i="3"/>
  <c r="AN101" i="3"/>
  <c r="AJ101" i="3"/>
  <c r="AV100" i="3"/>
  <c r="AR100" i="3"/>
  <c r="AN100" i="3"/>
  <c r="AJ100" i="3"/>
  <c r="AV99" i="3"/>
  <c r="AR99" i="3"/>
  <c r="AN99" i="3"/>
  <c r="AJ99" i="3"/>
  <c r="AV98" i="3"/>
  <c r="AR98" i="3"/>
  <c r="AN98" i="3"/>
  <c r="AJ98" i="3"/>
  <c r="AV84" i="3"/>
  <c r="AR84" i="3"/>
  <c r="AN84" i="3"/>
  <c r="AJ84" i="3"/>
  <c r="AV83" i="3"/>
  <c r="AR83" i="3"/>
  <c r="AN83" i="3"/>
  <c r="AJ83" i="3"/>
  <c r="AV82" i="3"/>
  <c r="AR82" i="3"/>
  <c r="AN82" i="3"/>
  <c r="AJ82" i="3"/>
  <c r="AV81" i="3"/>
  <c r="AR81" i="3"/>
  <c r="AN81" i="3"/>
  <c r="AJ81" i="3"/>
  <c r="AV67" i="3"/>
  <c r="AR67" i="3"/>
  <c r="AN67" i="3"/>
  <c r="AJ67" i="3"/>
  <c r="AV66" i="3"/>
  <c r="AR66" i="3"/>
  <c r="AN66" i="3"/>
  <c r="AJ66" i="3"/>
  <c r="AV65" i="3"/>
  <c r="AR65" i="3"/>
  <c r="AN65" i="3"/>
  <c r="AJ65" i="3"/>
  <c r="AV64" i="3"/>
  <c r="AR64" i="3"/>
  <c r="AN64" i="3"/>
  <c r="AJ64" i="3"/>
  <c r="AV50" i="3"/>
  <c r="AR50" i="3"/>
  <c r="AV49" i="3"/>
  <c r="AJ49" i="3"/>
  <c r="AR48" i="3"/>
  <c r="AJ48" i="3"/>
  <c r="AN47" i="3"/>
  <c r="AR33" i="3"/>
  <c r="AJ33" i="3"/>
  <c r="AN32" i="3"/>
  <c r="AV31" i="3"/>
  <c r="AJ31" i="3"/>
  <c r="AN30" i="3"/>
  <c r="AR16" i="3"/>
  <c r="AJ16" i="3"/>
  <c r="AA185" i="3"/>
  <c r="AE184" i="3"/>
  <c r="W184" i="3"/>
  <c r="S183" i="3"/>
  <c r="AE169" i="3"/>
  <c r="W169" i="3"/>
  <c r="S169" i="3"/>
  <c r="AE168" i="3"/>
  <c r="W168" i="3"/>
  <c r="S168" i="3"/>
  <c r="AA167" i="3"/>
  <c r="S167" i="3"/>
  <c r="AE166" i="3"/>
  <c r="AA166" i="3"/>
  <c r="S166" i="3"/>
  <c r="AA66" i="3"/>
  <c r="AA65" i="3"/>
  <c r="S64" i="3"/>
  <c r="W49" i="3"/>
  <c r="W48" i="3"/>
  <c r="J201" i="3"/>
  <c r="N186" i="3"/>
  <c r="N185" i="3"/>
  <c r="F183" i="3"/>
  <c r="F47" i="3"/>
  <c r="B33" i="3"/>
  <c r="F32" i="3"/>
  <c r="J31" i="3"/>
  <c r="F30" i="3"/>
  <c r="H30" i="3" s="1"/>
  <c r="J14" i="3"/>
  <c r="AV15" i="3"/>
  <c r="AR15" i="3"/>
  <c r="AN15" i="3"/>
  <c r="AJ15" i="3"/>
  <c r="AV14" i="3"/>
  <c r="AR14" i="3"/>
  <c r="AN14" i="3"/>
  <c r="AJ14" i="3"/>
  <c r="AV13" i="3"/>
  <c r="AR13" i="3"/>
  <c r="AN13" i="3"/>
  <c r="AJ13" i="3"/>
  <c r="AE220" i="3"/>
  <c r="AA220" i="3"/>
  <c r="W220" i="3"/>
  <c r="S220" i="3"/>
  <c r="AE219" i="3"/>
  <c r="AA219" i="3"/>
  <c r="W219" i="3"/>
  <c r="S219" i="3"/>
  <c r="AE218" i="3"/>
  <c r="AA218" i="3"/>
  <c r="W218" i="3"/>
  <c r="S218" i="3"/>
  <c r="AE217" i="3"/>
  <c r="AA217" i="3"/>
  <c r="W217" i="3"/>
  <c r="S217" i="3"/>
  <c r="AE203" i="3"/>
  <c r="AA203" i="3"/>
  <c r="W203" i="3"/>
  <c r="S203" i="3"/>
  <c r="AE202" i="3"/>
  <c r="AA202" i="3"/>
  <c r="W202" i="3"/>
  <c r="S202" i="3"/>
  <c r="AE201" i="3"/>
  <c r="AA201" i="3"/>
  <c r="W201" i="3"/>
  <c r="S201" i="3"/>
  <c r="AE200" i="3"/>
  <c r="AA200" i="3"/>
  <c r="W200" i="3"/>
  <c r="S200" i="3"/>
  <c r="AE186" i="3"/>
  <c r="AA186" i="3"/>
  <c r="W186" i="3"/>
  <c r="S186" i="3"/>
  <c r="S185" i="3"/>
  <c r="AE183" i="3"/>
  <c r="W183" i="3"/>
  <c r="AA169" i="3"/>
  <c r="AA168" i="3"/>
  <c r="AE167" i="3"/>
  <c r="W167" i="3"/>
  <c r="W166" i="3"/>
  <c r="AE152" i="3"/>
  <c r="AA152" i="3"/>
  <c r="W152" i="3"/>
  <c r="S152" i="3"/>
  <c r="AE151" i="3"/>
  <c r="AA151" i="3"/>
  <c r="W151" i="3"/>
  <c r="S151" i="3"/>
  <c r="AE150" i="3"/>
  <c r="AA150" i="3"/>
  <c r="AE149" i="3"/>
  <c r="S149" i="3"/>
  <c r="S67" i="3"/>
  <c r="AE65" i="3"/>
  <c r="AE64" i="3"/>
  <c r="AE50" i="3"/>
  <c r="AA48" i="3"/>
  <c r="AC48" i="3" s="1"/>
  <c r="AE13" i="3"/>
  <c r="F220" i="3"/>
  <c r="F202" i="3"/>
  <c r="F184" i="3"/>
  <c r="N168" i="3"/>
  <c r="B168" i="3"/>
  <c r="J30" i="3"/>
  <c r="N15" i="3"/>
  <c r="B15" i="3"/>
  <c r="AA135" i="3"/>
  <c r="W135" i="3"/>
  <c r="S135" i="3"/>
  <c r="AE134" i="3"/>
  <c r="AA134" i="3"/>
  <c r="W134" i="3"/>
  <c r="S134" i="3"/>
  <c r="AE133" i="3"/>
  <c r="AA133" i="3"/>
  <c r="W133" i="3"/>
  <c r="S133" i="3"/>
  <c r="AE132" i="3"/>
  <c r="AA132" i="3"/>
  <c r="W132" i="3"/>
  <c r="S132" i="3"/>
  <c r="AE118" i="3"/>
  <c r="AA118" i="3"/>
  <c r="W118" i="3"/>
  <c r="S118" i="3"/>
  <c r="AE117" i="3"/>
  <c r="AA117" i="3"/>
  <c r="W117" i="3"/>
  <c r="S117" i="3"/>
  <c r="AE116" i="3"/>
  <c r="AA116" i="3"/>
  <c r="W116" i="3"/>
  <c r="S116" i="3"/>
  <c r="AE115" i="3"/>
  <c r="AA115" i="3"/>
  <c r="W115" i="3"/>
  <c r="S115" i="3"/>
  <c r="AE101" i="3"/>
  <c r="AA101" i="3"/>
  <c r="W101" i="3"/>
  <c r="S101" i="3"/>
  <c r="AE100" i="3"/>
  <c r="AA100" i="3"/>
  <c r="W100" i="3"/>
  <c r="S100" i="3"/>
  <c r="AE99" i="3"/>
  <c r="AA99" i="3"/>
  <c r="W99" i="3"/>
  <c r="S99" i="3"/>
  <c r="AE98" i="3"/>
  <c r="AA98" i="3"/>
  <c r="W98" i="3"/>
  <c r="S98" i="3"/>
  <c r="AE84" i="3"/>
  <c r="AA84" i="3"/>
  <c r="W84" i="3"/>
  <c r="S84" i="3"/>
  <c r="AE83" i="3"/>
  <c r="AA83" i="3"/>
  <c r="W83" i="3"/>
  <c r="S83" i="3"/>
  <c r="AE82" i="3"/>
  <c r="AA82" i="3"/>
  <c r="W82" i="3"/>
  <c r="S82" i="3"/>
  <c r="AE81" i="3"/>
  <c r="AA81" i="3"/>
  <c r="S81" i="3"/>
  <c r="S66" i="3"/>
  <c r="W65" i="3"/>
  <c r="S50" i="3"/>
  <c r="S49" i="3"/>
  <c r="S48" i="3"/>
  <c r="S14" i="3"/>
  <c r="J219" i="3"/>
  <c r="J218" i="3"/>
  <c r="J202" i="3"/>
  <c r="B186" i="3"/>
  <c r="B31" i="3"/>
  <c r="F14" i="3"/>
  <c r="AE47" i="3"/>
  <c r="AA47" i="3"/>
  <c r="W47" i="3"/>
  <c r="S47" i="3"/>
  <c r="AE33" i="3"/>
  <c r="AA33" i="3"/>
  <c r="W33" i="3"/>
  <c r="S33" i="3"/>
  <c r="AE32" i="3"/>
  <c r="AA32" i="3"/>
  <c r="W32" i="3"/>
  <c r="S32" i="3"/>
  <c r="AE31" i="3"/>
  <c r="AA31" i="3"/>
  <c r="W31" i="3"/>
  <c r="S31" i="3"/>
  <c r="AE30" i="3"/>
  <c r="AA30" i="3"/>
  <c r="W30" i="3"/>
  <c r="S30" i="3"/>
  <c r="AE16" i="3"/>
  <c r="AA16" i="3"/>
  <c r="W16" i="3"/>
  <c r="S16" i="3"/>
  <c r="AE15" i="3"/>
  <c r="AA15" i="3"/>
  <c r="W15" i="3"/>
  <c r="S15" i="3"/>
  <c r="AE14" i="3"/>
  <c r="W14" i="3"/>
  <c r="W13" i="3"/>
  <c r="N219" i="3"/>
  <c r="F218" i="3"/>
  <c r="B201" i="3"/>
  <c r="F185" i="3"/>
  <c r="N169" i="3"/>
  <c r="B169" i="3"/>
  <c r="N167" i="3"/>
  <c r="J167" i="3"/>
  <c r="F167" i="3"/>
  <c r="B167" i="3"/>
  <c r="N166" i="3"/>
  <c r="J166" i="3"/>
  <c r="F166" i="3"/>
  <c r="B166" i="3"/>
  <c r="N152" i="3"/>
  <c r="J152" i="3"/>
  <c r="F152" i="3"/>
  <c r="B152" i="3"/>
  <c r="N151" i="3"/>
  <c r="J151" i="3"/>
  <c r="F151" i="3"/>
  <c r="B151" i="3"/>
  <c r="N150" i="3"/>
  <c r="J150" i="3"/>
  <c r="F150" i="3"/>
  <c r="B150" i="3"/>
  <c r="N149" i="3"/>
  <c r="J149" i="3"/>
  <c r="F149" i="3"/>
  <c r="B149" i="3"/>
  <c r="N135" i="3"/>
  <c r="J135" i="3"/>
  <c r="F135" i="3"/>
  <c r="B135" i="3"/>
  <c r="N134" i="3"/>
  <c r="J134" i="3"/>
  <c r="F134" i="3"/>
  <c r="B134" i="3"/>
  <c r="N133" i="3"/>
  <c r="J133" i="3"/>
  <c r="F133" i="3"/>
  <c r="H133" i="3" s="1"/>
  <c r="B133" i="3"/>
  <c r="N132" i="3"/>
  <c r="J132" i="3"/>
  <c r="F132" i="3"/>
  <c r="B132" i="3"/>
  <c r="D132" i="3" s="1"/>
  <c r="N118" i="3"/>
  <c r="J118" i="3"/>
  <c r="F118" i="3"/>
  <c r="B118" i="3"/>
  <c r="N117" i="3"/>
  <c r="J117" i="3"/>
  <c r="F117" i="3"/>
  <c r="B117" i="3"/>
  <c r="N116" i="3"/>
  <c r="J116" i="3"/>
  <c r="F116" i="3"/>
  <c r="B116" i="3"/>
  <c r="N115" i="3"/>
  <c r="J115" i="3"/>
  <c r="F115" i="3"/>
  <c r="B115" i="3"/>
  <c r="N101" i="3"/>
  <c r="J101" i="3"/>
  <c r="F101" i="3"/>
  <c r="B101" i="3"/>
  <c r="D101" i="3" s="1"/>
  <c r="N100" i="3"/>
  <c r="P100" i="3" s="1"/>
  <c r="J100" i="3"/>
  <c r="F100" i="3"/>
  <c r="B100" i="3"/>
  <c r="N99" i="3"/>
  <c r="J99" i="3"/>
  <c r="F99" i="3"/>
  <c r="B99" i="3"/>
  <c r="N98" i="3"/>
  <c r="J98" i="3"/>
  <c r="F98" i="3"/>
  <c r="B98" i="3"/>
  <c r="N84" i="3"/>
  <c r="J84" i="3"/>
  <c r="F84" i="3"/>
  <c r="B84" i="3"/>
  <c r="N83" i="3"/>
  <c r="J83" i="3"/>
  <c r="F83" i="3"/>
  <c r="H83" i="3" s="1"/>
  <c r="B83" i="3"/>
  <c r="N82" i="3"/>
  <c r="J82" i="3"/>
  <c r="F82" i="3"/>
  <c r="B82" i="3"/>
  <c r="N81" i="3"/>
  <c r="J81" i="3"/>
  <c r="F81" i="3"/>
  <c r="B81" i="3"/>
  <c r="N67" i="3"/>
  <c r="J67" i="3"/>
  <c r="F67" i="3"/>
  <c r="B67" i="3"/>
  <c r="N66" i="3"/>
  <c r="J66" i="3"/>
  <c r="F66" i="3"/>
  <c r="B66" i="3"/>
  <c r="D66" i="3" s="1"/>
  <c r="N65" i="3"/>
  <c r="J65" i="3"/>
  <c r="F65" i="3"/>
  <c r="B65" i="3"/>
  <c r="N64" i="3"/>
  <c r="J64" i="3"/>
  <c r="F64" i="3"/>
  <c r="B64" i="3"/>
  <c r="N50" i="3"/>
  <c r="J50" i="3"/>
  <c r="F50" i="3"/>
  <c r="H50" i="3" s="1"/>
  <c r="B50" i="3"/>
  <c r="N49" i="3"/>
  <c r="P49" i="3" s="1"/>
  <c r="J49" i="3"/>
  <c r="F49" i="3"/>
  <c r="B49" i="3"/>
  <c r="N48" i="3"/>
  <c r="J48" i="3"/>
  <c r="F48" i="3"/>
  <c r="B48" i="3"/>
  <c r="N47" i="3"/>
  <c r="B47" i="3"/>
  <c r="N16" i="3"/>
  <c r="N13" i="3"/>
  <c r="AL338" i="3"/>
  <c r="AC337" i="3"/>
  <c r="P288" i="3"/>
  <c r="AG285" i="3"/>
  <c r="U285" i="3"/>
  <c r="AL268" i="3"/>
  <c r="AG268" i="3"/>
  <c r="U268" i="3"/>
  <c r="AP200" i="3"/>
  <c r="AL184" i="3"/>
  <c r="AL67" i="3"/>
  <c r="Y135" i="3"/>
  <c r="U99" i="3"/>
  <c r="AG66" i="3"/>
  <c r="Y30" i="3"/>
  <c r="P166" i="3"/>
  <c r="H149" i="3"/>
  <c r="AR351" i="3"/>
  <c r="AA351" i="3"/>
  <c r="J351" i="3"/>
  <c r="L351" i="3" s="1"/>
  <c r="AR300" i="3"/>
  <c r="AR283" i="3"/>
  <c r="AA283" i="3"/>
  <c r="AC283" i="3" s="1"/>
  <c r="J283" i="3"/>
  <c r="AA130" i="3"/>
  <c r="AA45" i="3"/>
  <c r="J198" i="3"/>
  <c r="J130" i="3"/>
  <c r="AR334" i="3"/>
  <c r="AA334" i="3"/>
  <c r="J334" i="3"/>
  <c r="AR317" i="3"/>
  <c r="AA317" i="3"/>
  <c r="J317" i="3"/>
  <c r="J300" i="3"/>
  <c r="AA28" i="3"/>
  <c r="AC28" i="3" s="1"/>
  <c r="J79" i="3"/>
  <c r="AA300" i="3"/>
  <c r="J62" i="3"/>
  <c r="AR266" i="3"/>
  <c r="AT266" i="3" s="1"/>
  <c r="AA266" i="3"/>
  <c r="J266" i="3"/>
  <c r="AR249" i="3"/>
  <c r="AA249" i="3"/>
  <c r="J249" i="3"/>
  <c r="AA232" i="3"/>
  <c r="J232" i="3"/>
  <c r="AR198" i="3"/>
  <c r="AR164" i="3"/>
  <c r="AR130" i="3"/>
  <c r="AA198" i="3"/>
  <c r="AA164" i="3"/>
  <c r="AA113" i="3"/>
  <c r="AA62" i="3"/>
  <c r="AA11" i="3"/>
  <c r="J181" i="3"/>
  <c r="J147" i="3"/>
  <c r="J96" i="3"/>
  <c r="J28" i="3"/>
  <c r="AR232" i="3"/>
  <c r="AR215" i="3"/>
  <c r="AR181" i="3"/>
  <c r="AR147" i="3"/>
  <c r="AA147" i="3"/>
  <c r="AA79" i="3"/>
  <c r="J215" i="3"/>
  <c r="J164" i="3"/>
  <c r="J45" i="3"/>
  <c r="AR113" i="3"/>
  <c r="AR96" i="3"/>
  <c r="AR79" i="3"/>
  <c r="AT79" i="3" s="1"/>
  <c r="AR62" i="3"/>
  <c r="AR45" i="3"/>
  <c r="AR28" i="3"/>
  <c r="AR11" i="3"/>
  <c r="AA215" i="3"/>
  <c r="AA181" i="3"/>
  <c r="AA96" i="3"/>
  <c r="J113" i="3"/>
  <c r="AR350" i="3"/>
  <c r="AA350" i="3"/>
  <c r="J350" i="3"/>
  <c r="AR333" i="3"/>
  <c r="AA333" i="3"/>
  <c r="J333" i="3"/>
  <c r="AR316" i="3"/>
  <c r="AA316" i="3"/>
  <c r="J316" i="3"/>
  <c r="AR299" i="3"/>
  <c r="AA299" i="3"/>
  <c r="J299" i="3"/>
  <c r="J282" i="3"/>
  <c r="J95" i="3"/>
  <c r="AR282" i="3"/>
  <c r="AT282" i="3" s="1"/>
  <c r="AA282" i="3"/>
  <c r="AR265" i="3"/>
  <c r="AT265" i="3" s="1"/>
  <c r="AA265" i="3"/>
  <c r="J265" i="3"/>
  <c r="AR248" i="3"/>
  <c r="AA248" i="3"/>
  <c r="J248" i="3"/>
  <c r="AR61" i="3"/>
  <c r="AT61" i="3" s="1"/>
  <c r="AR27" i="3"/>
  <c r="AA214" i="3"/>
  <c r="AA163" i="3"/>
  <c r="AA95" i="3"/>
  <c r="AA61" i="3"/>
  <c r="AA44" i="3"/>
  <c r="J163" i="3"/>
  <c r="J61" i="3"/>
  <c r="AR231" i="3"/>
  <c r="AA231" i="3"/>
  <c r="J231" i="3"/>
  <c r="AR214" i="3"/>
  <c r="AR180" i="3"/>
  <c r="AR146" i="3"/>
  <c r="AR95" i="3"/>
  <c r="AA180" i="3"/>
  <c r="AA112" i="3"/>
  <c r="AA78" i="3"/>
  <c r="AC78" i="3" s="1"/>
  <c r="AA27" i="3"/>
  <c r="J146" i="3"/>
  <c r="J78" i="3"/>
  <c r="J27" i="3"/>
  <c r="AR197" i="3"/>
  <c r="AR163" i="3"/>
  <c r="AR129" i="3"/>
  <c r="AR112" i="3"/>
  <c r="AT112" i="3" s="1"/>
  <c r="AR78" i="3"/>
  <c r="AR44" i="3"/>
  <c r="AR10" i="3"/>
  <c r="AA146" i="3"/>
  <c r="J214" i="3"/>
  <c r="J180" i="3"/>
  <c r="J129" i="3"/>
  <c r="J44" i="3"/>
  <c r="AA129" i="3"/>
  <c r="AA197" i="3"/>
  <c r="AA10" i="3"/>
  <c r="J197" i="3"/>
  <c r="J112" i="3"/>
  <c r="AR349" i="3"/>
  <c r="AA349" i="3"/>
  <c r="J349" i="3"/>
  <c r="AR332" i="3"/>
  <c r="AA332" i="3"/>
  <c r="J332" i="3"/>
  <c r="AR315" i="3"/>
  <c r="AA315" i="3"/>
  <c r="J315" i="3"/>
  <c r="AR298" i="3"/>
  <c r="AA298" i="3"/>
  <c r="AC298" i="3" s="1"/>
  <c r="J298" i="3"/>
  <c r="AR281" i="3"/>
  <c r="J281" i="3"/>
  <c r="AA281" i="3"/>
  <c r="J162" i="3"/>
  <c r="J43" i="3"/>
  <c r="AR264" i="3"/>
  <c r="AT264" i="3" s="1"/>
  <c r="AA264" i="3"/>
  <c r="AC264" i="3" s="1"/>
  <c r="J264" i="3"/>
  <c r="AR247" i="3"/>
  <c r="AA247" i="3"/>
  <c r="J247" i="3"/>
  <c r="AA230" i="3"/>
  <c r="AR213" i="3"/>
  <c r="AR94" i="3"/>
  <c r="AR43" i="3"/>
  <c r="AR26" i="3"/>
  <c r="AA196" i="3"/>
  <c r="AA179" i="3"/>
  <c r="AA128" i="3"/>
  <c r="AA9" i="3"/>
  <c r="J179" i="3"/>
  <c r="J128" i="3"/>
  <c r="J77" i="3"/>
  <c r="J60" i="3"/>
  <c r="AR230" i="3"/>
  <c r="J230" i="3"/>
  <c r="AR179" i="3"/>
  <c r="AR145" i="3"/>
  <c r="AR111" i="3"/>
  <c r="AR60" i="3"/>
  <c r="AR9" i="3"/>
  <c r="AA162" i="3"/>
  <c r="AA111" i="3"/>
  <c r="AA94" i="3"/>
  <c r="AA60" i="3"/>
  <c r="AA26" i="3"/>
  <c r="J213" i="3"/>
  <c r="J145" i="3"/>
  <c r="J94" i="3"/>
  <c r="J26" i="3"/>
  <c r="AR196" i="3"/>
  <c r="AR162" i="3"/>
  <c r="AT162" i="3" s="1"/>
  <c r="AR128" i="3"/>
  <c r="AR77" i="3"/>
  <c r="AA213" i="3"/>
  <c r="AA145" i="3"/>
  <c r="AA77" i="3"/>
  <c r="AC77" i="3" s="1"/>
  <c r="AA43" i="3"/>
  <c r="J196" i="3"/>
  <c r="J111" i="3"/>
  <c r="AR348" i="3"/>
  <c r="AA348" i="3"/>
  <c r="J348" i="3"/>
  <c r="AR331" i="3"/>
  <c r="AA331" i="3"/>
  <c r="J331" i="3"/>
  <c r="AR314" i="3"/>
  <c r="AA314" i="3"/>
  <c r="J314" i="3"/>
  <c r="AR297" i="3"/>
  <c r="AA297" i="3"/>
  <c r="J297" i="3"/>
  <c r="AR280" i="3"/>
  <c r="AA280" i="3"/>
  <c r="AC280" i="3" s="1"/>
  <c r="J280" i="3"/>
  <c r="AR263" i="3"/>
  <c r="AA263" i="3"/>
  <c r="J263" i="3"/>
  <c r="AR246" i="3"/>
  <c r="AA246" i="3"/>
  <c r="J246" i="3"/>
  <c r="AA229" i="3"/>
  <c r="J229" i="3"/>
  <c r="AR212" i="3"/>
  <c r="AR195" i="3"/>
  <c r="AR178" i="3"/>
  <c r="AR161" i="3"/>
  <c r="AR144" i="3"/>
  <c r="AR127" i="3"/>
  <c r="AR110" i="3"/>
  <c r="AR76" i="3"/>
  <c r="AR42" i="3"/>
  <c r="AR8" i="3"/>
  <c r="AA178" i="3"/>
  <c r="AA161" i="3"/>
  <c r="AA110" i="3"/>
  <c r="AA76" i="3"/>
  <c r="AA25" i="3"/>
  <c r="J195" i="3"/>
  <c r="J144" i="3"/>
  <c r="J110" i="3"/>
  <c r="J59" i="3"/>
  <c r="AR229" i="3"/>
  <c r="AR93" i="3"/>
  <c r="AR59" i="3"/>
  <c r="AR25" i="3"/>
  <c r="AA195" i="3"/>
  <c r="AA127" i="3"/>
  <c r="AA59" i="3"/>
  <c r="AA8" i="3"/>
  <c r="J178" i="3"/>
  <c r="J127" i="3"/>
  <c r="J76" i="3"/>
  <c r="J25" i="3"/>
  <c r="AA144" i="3"/>
  <c r="AA212" i="3"/>
  <c r="AA93" i="3"/>
  <c r="AA42" i="3"/>
  <c r="J212" i="3"/>
  <c r="J161" i="3"/>
  <c r="J93" i="3"/>
  <c r="J42" i="3"/>
  <c r="AV351" i="3"/>
  <c r="AE351" i="3"/>
  <c r="N351" i="3"/>
  <c r="P351" i="3" s="1"/>
  <c r="AE317" i="3"/>
  <c r="AV300" i="3"/>
  <c r="AE283" i="3"/>
  <c r="AG283" i="3" s="1"/>
  <c r="AE266" i="3"/>
  <c r="AV249" i="3"/>
  <c r="N249" i="3"/>
  <c r="AV215" i="3"/>
  <c r="AV130" i="3"/>
  <c r="AV79" i="3"/>
  <c r="AV11" i="3"/>
  <c r="AE130" i="3"/>
  <c r="AE96" i="3"/>
  <c r="AG96" i="3" s="1"/>
  <c r="AE28" i="3"/>
  <c r="N198" i="3"/>
  <c r="N147" i="3"/>
  <c r="N45" i="3"/>
  <c r="AV334" i="3"/>
  <c r="AX334" i="3" s="1"/>
  <c r="AE334" i="3"/>
  <c r="N334" i="3"/>
  <c r="AV317" i="3"/>
  <c r="N317" i="3"/>
  <c r="N300" i="3"/>
  <c r="AV283" i="3"/>
  <c r="AX283" i="3" s="1"/>
  <c r="N283" i="3"/>
  <c r="P283" i="3" s="1"/>
  <c r="N266" i="3"/>
  <c r="AE249" i="3"/>
  <c r="AV232" i="3"/>
  <c r="N232" i="3"/>
  <c r="AV181" i="3"/>
  <c r="AV147" i="3"/>
  <c r="AV45" i="3"/>
  <c r="AE215" i="3"/>
  <c r="AE164" i="3"/>
  <c r="AE113" i="3"/>
  <c r="AE62" i="3"/>
  <c r="AE11" i="3"/>
  <c r="N181" i="3"/>
  <c r="N113" i="3"/>
  <c r="N28" i="3"/>
  <c r="AE300" i="3"/>
  <c r="AV164" i="3"/>
  <c r="AV62" i="3"/>
  <c r="AE198" i="3"/>
  <c r="AE79" i="3"/>
  <c r="N96" i="3"/>
  <c r="AV266" i="3"/>
  <c r="AX266" i="3" s="1"/>
  <c r="AE232" i="3"/>
  <c r="AV198" i="3"/>
  <c r="AV113" i="3"/>
  <c r="AV96" i="3"/>
  <c r="AV28" i="3"/>
  <c r="AE181" i="3"/>
  <c r="N164" i="3"/>
  <c r="N79" i="3"/>
  <c r="N215" i="3"/>
  <c r="AE45" i="3"/>
  <c r="AE147" i="3"/>
  <c r="N130" i="3"/>
  <c r="N62" i="3"/>
  <c r="AV350" i="3"/>
  <c r="AE350" i="3"/>
  <c r="N350" i="3"/>
  <c r="AE316" i="3"/>
  <c r="AV299" i="3"/>
  <c r="N299" i="3"/>
  <c r="P299" i="3" s="1"/>
  <c r="AV282" i="3"/>
  <c r="N282" i="3"/>
  <c r="AE265" i="3"/>
  <c r="AV248" i="3"/>
  <c r="N248" i="3"/>
  <c r="AE146" i="3"/>
  <c r="AE61" i="3"/>
  <c r="AE10" i="3"/>
  <c r="AG10" i="3" s="1"/>
  <c r="N163" i="3"/>
  <c r="AV333" i="3"/>
  <c r="AE333" i="3"/>
  <c r="N333" i="3"/>
  <c r="AV316" i="3"/>
  <c r="N316" i="3"/>
  <c r="AE282" i="3"/>
  <c r="N265" i="3"/>
  <c r="AE248" i="3"/>
  <c r="AE163" i="3"/>
  <c r="AE95" i="3"/>
  <c r="N180" i="3"/>
  <c r="N112" i="3"/>
  <c r="P112" i="3" s="1"/>
  <c r="N44" i="3"/>
  <c r="AE299" i="3"/>
  <c r="AV265" i="3"/>
  <c r="AE27" i="3"/>
  <c r="N95" i="3"/>
  <c r="AV231" i="3"/>
  <c r="AE231" i="3"/>
  <c r="N231" i="3"/>
  <c r="AV214" i="3"/>
  <c r="AV163" i="3"/>
  <c r="AX163" i="3" s="1"/>
  <c r="AV146" i="3"/>
  <c r="AE78" i="3"/>
  <c r="N197" i="3"/>
  <c r="N27" i="3"/>
  <c r="AV197" i="3"/>
  <c r="AV180" i="3"/>
  <c r="AV129" i="3"/>
  <c r="AV78" i="3"/>
  <c r="AV44" i="3"/>
  <c r="AV10" i="3"/>
  <c r="AE197" i="3"/>
  <c r="AE112" i="3"/>
  <c r="N129" i="3"/>
  <c r="N61" i="3"/>
  <c r="AV112" i="3"/>
  <c r="AX112" i="3" s="1"/>
  <c r="AV95" i="3"/>
  <c r="AV61" i="3"/>
  <c r="AX61" i="3" s="1"/>
  <c r="AV27" i="3"/>
  <c r="AE214" i="3"/>
  <c r="AE180" i="3"/>
  <c r="AE129" i="3"/>
  <c r="AE44" i="3"/>
  <c r="N214" i="3"/>
  <c r="N146" i="3"/>
  <c r="N78" i="3"/>
  <c r="AV349" i="3"/>
  <c r="AE349" i="3"/>
  <c r="N349" i="3"/>
  <c r="N332" i="3"/>
  <c r="P332" i="3" s="1"/>
  <c r="AE315" i="3"/>
  <c r="N315" i="3"/>
  <c r="AE281" i="3"/>
  <c r="AG281" i="3" s="1"/>
  <c r="AV332" i="3"/>
  <c r="AE332" i="3"/>
  <c r="AV315" i="3"/>
  <c r="AV298" i="3"/>
  <c r="N281" i="3"/>
  <c r="AE298" i="3"/>
  <c r="N298" i="3"/>
  <c r="AV281" i="3"/>
  <c r="AV264" i="3"/>
  <c r="AE264" i="3"/>
  <c r="N264" i="3"/>
  <c r="AV247" i="3"/>
  <c r="AE247" i="3"/>
  <c r="N247" i="3"/>
  <c r="AV26" i="3"/>
  <c r="AE162" i="3"/>
  <c r="AE94" i="3"/>
  <c r="N213" i="3"/>
  <c r="N145" i="3"/>
  <c r="N94" i="3"/>
  <c r="AV230" i="3"/>
  <c r="AE230" i="3"/>
  <c r="N230" i="3"/>
  <c r="AV213" i="3"/>
  <c r="AV77" i="3"/>
  <c r="AE213" i="3"/>
  <c r="AE145" i="3"/>
  <c r="AE111" i="3"/>
  <c r="AE43" i="3"/>
  <c r="AE9" i="3"/>
  <c r="N128" i="3"/>
  <c r="N77" i="3"/>
  <c r="AV196" i="3"/>
  <c r="AV179" i="3"/>
  <c r="AV162" i="3"/>
  <c r="AV145" i="3"/>
  <c r="AV128" i="3"/>
  <c r="AV43" i="3"/>
  <c r="AE128" i="3"/>
  <c r="AE26" i="3"/>
  <c r="N162" i="3"/>
  <c r="N60" i="3"/>
  <c r="AV111" i="3"/>
  <c r="AV94" i="3"/>
  <c r="AV60" i="3"/>
  <c r="AE179" i="3"/>
  <c r="AE60" i="3"/>
  <c r="N179" i="3"/>
  <c r="N43" i="3"/>
  <c r="AV9" i="3"/>
  <c r="AE196" i="3"/>
  <c r="AE77" i="3"/>
  <c r="N196" i="3"/>
  <c r="N111" i="3"/>
  <c r="N26" i="3"/>
  <c r="AV348" i="3"/>
  <c r="AE348" i="3"/>
  <c r="N348" i="3"/>
  <c r="AE8" i="3"/>
  <c r="N25" i="3"/>
  <c r="AV331" i="3"/>
  <c r="AE331" i="3"/>
  <c r="N331" i="3"/>
  <c r="AV314" i="3"/>
  <c r="AE314" i="3"/>
  <c r="N314" i="3"/>
  <c r="AV297" i="3"/>
  <c r="AV93" i="3"/>
  <c r="AV42" i="3"/>
  <c r="AV8" i="3"/>
  <c r="AE144" i="3"/>
  <c r="AE93" i="3"/>
  <c r="AE59" i="3"/>
  <c r="N195" i="3"/>
  <c r="N110" i="3"/>
  <c r="N76" i="3"/>
  <c r="AE297" i="3"/>
  <c r="N297" i="3"/>
  <c r="AV280" i="3"/>
  <c r="AE280" i="3"/>
  <c r="N280" i="3"/>
  <c r="P280" i="3" s="1"/>
  <c r="AE229" i="3"/>
  <c r="AV212" i="3"/>
  <c r="AV195" i="3"/>
  <c r="AV144" i="3"/>
  <c r="AV76" i="3"/>
  <c r="AX76" i="3" s="1"/>
  <c r="AE195" i="3"/>
  <c r="N161" i="3"/>
  <c r="AV263" i="3"/>
  <c r="AE263" i="3"/>
  <c r="N263" i="3"/>
  <c r="AV246" i="3"/>
  <c r="AE246" i="3"/>
  <c r="AV229" i="3"/>
  <c r="N229" i="3"/>
  <c r="AV178" i="3"/>
  <c r="AV161" i="3"/>
  <c r="AV110" i="3"/>
  <c r="AE161" i="3"/>
  <c r="AE110" i="3"/>
  <c r="AE42" i="3"/>
  <c r="N178" i="3"/>
  <c r="N127" i="3"/>
  <c r="N59" i="3"/>
  <c r="N246" i="3"/>
  <c r="AV127" i="3"/>
  <c r="AV59" i="3"/>
  <c r="AV25" i="3"/>
  <c r="AE212" i="3"/>
  <c r="AE127" i="3"/>
  <c r="AE76" i="3"/>
  <c r="AE25" i="3"/>
  <c r="N212" i="3"/>
  <c r="N144" i="3"/>
  <c r="N42" i="3"/>
  <c r="AE178" i="3"/>
  <c r="N93" i="3"/>
  <c r="AP356" i="3"/>
  <c r="AL354" i="3"/>
  <c r="AX355" i="3"/>
  <c r="AT354" i="3"/>
  <c r="AP354" i="3"/>
  <c r="AX353" i="3"/>
  <c r="AP353" i="3"/>
  <c r="AP355" i="3"/>
  <c r="AT353" i="3"/>
  <c r="AL356" i="3"/>
  <c r="AX356" i="3"/>
  <c r="AG356" i="3"/>
  <c r="Y355" i="3"/>
  <c r="L354" i="3"/>
  <c r="AG353" i="3"/>
  <c r="Y353" i="3"/>
  <c r="Y356" i="3"/>
  <c r="P355" i="3"/>
  <c r="AC354" i="3"/>
  <c r="Y354" i="3"/>
  <c r="U354" i="3"/>
  <c r="D354" i="3"/>
  <c r="U356" i="3"/>
  <c r="AC353" i="3"/>
  <c r="L353" i="3"/>
  <c r="P356" i="3"/>
  <c r="H356" i="3"/>
  <c r="P353" i="3"/>
  <c r="D356" i="3"/>
  <c r="AG355" i="3"/>
  <c r="H354" i="3"/>
  <c r="H353" i="3"/>
  <c r="AX339" i="3"/>
  <c r="AP339" i="3"/>
  <c r="AL339" i="3"/>
  <c r="AG339" i="3"/>
  <c r="Y339" i="3"/>
  <c r="U339" i="3"/>
  <c r="P339" i="3"/>
  <c r="H339" i="3"/>
  <c r="D339" i="3"/>
  <c r="AX338" i="3"/>
  <c r="AP338" i="3"/>
  <c r="AG338" i="3"/>
  <c r="Y338" i="3"/>
  <c r="P338" i="3"/>
  <c r="H338" i="3"/>
  <c r="AL337" i="3"/>
  <c r="L337" i="3"/>
  <c r="L336" i="3"/>
  <c r="AX331" i="3"/>
  <c r="P331" i="3"/>
  <c r="AP337" i="3"/>
  <c r="Y337" i="3"/>
  <c r="H337" i="3"/>
  <c r="AX336" i="3"/>
  <c r="AP336" i="3"/>
  <c r="AG336" i="3"/>
  <c r="H336" i="3"/>
  <c r="AC332" i="3"/>
  <c r="AT337" i="3"/>
  <c r="U337" i="3"/>
  <c r="D337" i="3"/>
  <c r="AT336" i="3"/>
  <c r="AC336" i="3"/>
  <c r="Y336" i="3"/>
  <c r="P336" i="3"/>
  <c r="AX322" i="3"/>
  <c r="AP322" i="3"/>
  <c r="AL322" i="3"/>
  <c r="AX321" i="3"/>
  <c r="AP321" i="3"/>
  <c r="AT320" i="3"/>
  <c r="AP320" i="3"/>
  <c r="AL320" i="3"/>
  <c r="AX319" i="3"/>
  <c r="AT319" i="3"/>
  <c r="AP319" i="3"/>
  <c r="AG322" i="3"/>
  <c r="Y322" i="3"/>
  <c r="U322" i="3"/>
  <c r="AG321" i="3"/>
  <c r="Y321" i="3"/>
  <c r="AC320" i="3"/>
  <c r="Y320" i="3"/>
  <c r="U320" i="3"/>
  <c r="AG319" i="3"/>
  <c r="AC319" i="3"/>
  <c r="Y319" i="3"/>
  <c r="P322" i="3"/>
  <c r="H322" i="3"/>
  <c r="D322" i="3"/>
  <c r="P321" i="3"/>
  <c r="H321" i="3"/>
  <c r="H320" i="3"/>
  <c r="D320" i="3"/>
  <c r="H319" i="3"/>
  <c r="L319" i="3"/>
  <c r="L320" i="3"/>
  <c r="P319" i="3"/>
  <c r="AG302" i="3"/>
  <c r="AC302" i="3"/>
  <c r="Y302" i="3"/>
  <c r="P305" i="3"/>
  <c r="L305" i="3"/>
  <c r="H305" i="3"/>
  <c r="D305" i="3"/>
  <c r="P304" i="3"/>
  <c r="L304" i="3"/>
  <c r="H304" i="3"/>
  <c r="P303" i="3"/>
  <c r="L303" i="3"/>
  <c r="D303" i="3"/>
  <c r="P302" i="3"/>
  <c r="L302" i="3"/>
  <c r="H302" i="3"/>
  <c r="AX288" i="3"/>
  <c r="AT288" i="3"/>
  <c r="AP288" i="3"/>
  <c r="AL288" i="3"/>
  <c r="AG288" i="3"/>
  <c r="AC288" i="3"/>
  <c r="Y288" i="3"/>
  <c r="U288" i="3"/>
  <c r="L288" i="3"/>
  <c r="H288" i="3"/>
  <c r="AX287" i="3"/>
  <c r="AP287" i="3"/>
  <c r="P287" i="3"/>
  <c r="L287" i="3"/>
  <c r="H287" i="3"/>
  <c r="AX286" i="3"/>
  <c r="AT286" i="3"/>
  <c r="AG286" i="3"/>
  <c r="P286" i="3"/>
  <c r="AT285" i="3"/>
  <c r="P285" i="3"/>
  <c r="AX271" i="3"/>
  <c r="AP271" i="3"/>
  <c r="AG271" i="3"/>
  <c r="Y271" i="3"/>
  <c r="U271" i="3"/>
  <c r="P271" i="3"/>
  <c r="D271" i="3"/>
  <c r="AX270" i="3"/>
  <c r="AT270" i="3"/>
  <c r="AP270" i="3"/>
  <c r="AG270" i="3"/>
  <c r="AC270" i="3"/>
  <c r="Y270" i="3"/>
  <c r="P270" i="3"/>
  <c r="L270" i="3"/>
  <c r="H270" i="3"/>
  <c r="AX269" i="3"/>
  <c r="AT269" i="3"/>
  <c r="AL269" i="3"/>
  <c r="AG269" i="3"/>
  <c r="AP268" i="3"/>
  <c r="Y268" i="3"/>
  <c r="L268" i="3"/>
  <c r="AC269" i="3"/>
  <c r="D269" i="3"/>
  <c r="AC268" i="3"/>
  <c r="L285" i="3"/>
  <c r="AP269" i="3"/>
  <c r="U269" i="3"/>
  <c r="L269" i="3"/>
  <c r="AT268" i="3"/>
  <c r="H268" i="3"/>
  <c r="D288" i="3"/>
  <c r="AT287" i="3"/>
  <c r="AG287" i="3"/>
  <c r="AC287" i="3"/>
  <c r="Y287" i="3"/>
  <c r="AP286" i="3"/>
  <c r="AL286" i="3"/>
  <c r="AC286" i="3"/>
  <c r="Y286" i="3"/>
  <c r="U286" i="3"/>
  <c r="L286" i="3"/>
  <c r="Y269" i="3"/>
  <c r="P269" i="3"/>
  <c r="AX268" i="3"/>
  <c r="P268" i="3"/>
  <c r="AX254" i="3"/>
  <c r="AL254" i="3"/>
  <c r="AC254" i="3"/>
  <c r="Y254" i="3"/>
  <c r="U254" i="3"/>
  <c r="H254" i="3"/>
  <c r="D254" i="3"/>
  <c r="AX253" i="3"/>
  <c r="AT253" i="3"/>
  <c r="AP253" i="3"/>
  <c r="AG253" i="3"/>
  <c r="P253" i="3"/>
  <c r="H253" i="3"/>
  <c r="AX252" i="3"/>
  <c r="AT252" i="3"/>
  <c r="AG252" i="3"/>
  <c r="AC252" i="3"/>
  <c r="U252" i="3"/>
  <c r="L252" i="3"/>
  <c r="AC251" i="3"/>
  <c r="AG254" i="3"/>
  <c r="P254" i="3"/>
  <c r="Y253" i="3"/>
  <c r="AT254" i="3"/>
  <c r="AP254" i="3"/>
  <c r="L254" i="3"/>
  <c r="H252" i="3"/>
  <c r="D252" i="3"/>
  <c r="AX251" i="3"/>
  <c r="AT251" i="3"/>
  <c r="AP251" i="3"/>
  <c r="Y251" i="3"/>
  <c r="P251" i="3"/>
  <c r="L251" i="3"/>
  <c r="H251" i="3"/>
  <c r="AP237" i="3"/>
  <c r="AT236" i="3"/>
  <c r="AP236" i="3"/>
  <c r="AX235" i="3"/>
  <c r="AP235" i="3"/>
  <c r="AT234" i="3"/>
  <c r="AP234" i="3"/>
  <c r="AX237" i="3"/>
  <c r="AT237" i="3"/>
  <c r="AL237" i="3"/>
  <c r="AX236" i="3"/>
  <c r="AT235" i="3"/>
  <c r="AL235" i="3"/>
  <c r="AX234" i="3"/>
  <c r="AG237" i="3"/>
  <c r="U237" i="3"/>
  <c r="AC236" i="3"/>
  <c r="AG234" i="3"/>
  <c r="AG236" i="3"/>
  <c r="Y236" i="3"/>
  <c r="Y235" i="3"/>
  <c r="U235" i="3"/>
  <c r="Y234" i="3"/>
  <c r="AC237" i="3"/>
  <c r="Y237" i="3"/>
  <c r="AG235" i="3"/>
  <c r="AC235" i="3"/>
  <c r="AC234" i="3"/>
  <c r="D237" i="3"/>
  <c r="L236" i="3"/>
  <c r="P234" i="3"/>
  <c r="P237" i="3"/>
  <c r="P236" i="3"/>
  <c r="H236" i="3"/>
  <c r="P235" i="3"/>
  <c r="L235" i="3"/>
  <c r="D235" i="3"/>
  <c r="L234" i="3"/>
  <c r="H234" i="3"/>
  <c r="L237" i="3"/>
  <c r="H237" i="3"/>
  <c r="H235" i="3"/>
  <c r="AX220" i="3"/>
  <c r="AP220" i="3"/>
  <c r="AL220" i="3"/>
  <c r="AX219" i="3"/>
  <c r="AT219" i="3"/>
  <c r="AP219" i="3"/>
  <c r="AX218" i="3"/>
  <c r="AT217" i="3"/>
  <c r="AT220" i="3"/>
  <c r="AT218" i="3"/>
  <c r="AP218" i="3"/>
  <c r="AL218" i="3"/>
  <c r="AP217" i="3"/>
  <c r="AX203" i="3"/>
  <c r="AT203" i="3"/>
  <c r="AT202" i="3"/>
  <c r="AL201" i="3"/>
  <c r="AX200" i="3"/>
  <c r="AT200" i="3"/>
  <c r="AT201" i="3"/>
  <c r="AP203" i="3"/>
  <c r="AL203" i="3"/>
  <c r="AX202" i="3"/>
  <c r="AP201" i="3"/>
  <c r="AX186" i="3"/>
  <c r="AT186" i="3"/>
  <c r="AP186" i="3"/>
  <c r="AL186" i="3"/>
  <c r="AX185" i="3"/>
  <c r="AT184" i="3"/>
  <c r="AP183" i="3"/>
  <c r="AP184" i="3"/>
  <c r="AX183" i="3"/>
  <c r="AT183" i="3"/>
  <c r="AX169" i="3"/>
  <c r="AT169" i="3"/>
  <c r="AP169" i="3"/>
  <c r="AL169" i="3"/>
  <c r="AX168" i="3"/>
  <c r="AT168" i="3"/>
  <c r="AT167" i="3"/>
  <c r="AP167" i="3"/>
  <c r="AL167" i="3"/>
  <c r="AX166" i="3"/>
  <c r="AT166" i="3"/>
  <c r="AP166" i="3"/>
  <c r="AX152" i="3"/>
  <c r="AT152" i="3"/>
  <c r="AP152" i="3"/>
  <c r="AL152" i="3"/>
  <c r="AX151" i="3"/>
  <c r="AT151" i="3"/>
  <c r="AT150" i="3"/>
  <c r="AP150" i="3"/>
  <c r="AL150" i="3"/>
  <c r="AX149" i="3"/>
  <c r="AT149" i="3"/>
  <c r="AP149" i="3"/>
  <c r="AX135" i="3"/>
  <c r="AT135" i="3"/>
  <c r="AP135" i="3"/>
  <c r="AL135" i="3"/>
  <c r="AX134" i="3"/>
  <c r="AT133" i="3"/>
  <c r="AP133" i="3"/>
  <c r="AX132" i="3"/>
  <c r="AT134" i="3"/>
  <c r="AX133" i="3"/>
  <c r="AT132" i="3"/>
  <c r="AP132" i="3"/>
  <c r="AX118" i="3"/>
  <c r="AT118" i="3"/>
  <c r="AP118" i="3"/>
  <c r="AL118" i="3"/>
  <c r="AX117" i="3"/>
  <c r="AT117" i="3"/>
  <c r="AP117" i="3"/>
  <c r="AT116" i="3"/>
  <c r="AP116" i="3"/>
  <c r="AL116" i="3"/>
  <c r="AX115" i="3"/>
  <c r="AT115" i="3"/>
  <c r="AP115" i="3"/>
  <c r="AX101" i="3"/>
  <c r="AT101" i="3"/>
  <c r="AP101" i="3"/>
  <c r="AL101" i="3"/>
  <c r="AX100" i="3"/>
  <c r="AT100" i="3"/>
  <c r="AT99" i="3"/>
  <c r="AP99" i="3"/>
  <c r="AL99" i="3"/>
  <c r="AX98" i="3"/>
  <c r="AT98" i="3"/>
  <c r="AP98" i="3"/>
  <c r="AX84" i="3"/>
  <c r="AT84" i="3"/>
  <c r="AP84" i="3"/>
  <c r="AL84" i="3"/>
  <c r="AX83" i="3"/>
  <c r="AT83" i="3"/>
  <c r="AT82" i="3"/>
  <c r="AP82" i="3"/>
  <c r="AL82" i="3"/>
  <c r="AX81" i="3"/>
  <c r="AP81" i="3"/>
  <c r="AT81" i="3"/>
  <c r="AX67" i="3"/>
  <c r="AT67" i="3"/>
  <c r="AP67" i="3"/>
  <c r="AX66" i="3"/>
  <c r="AT66" i="3"/>
  <c r="AT65" i="3"/>
  <c r="AP65" i="3"/>
  <c r="AL65" i="3"/>
  <c r="AX64" i="3"/>
  <c r="AT64" i="3"/>
  <c r="AP64" i="3"/>
  <c r="AX50" i="3"/>
  <c r="AT50" i="3"/>
  <c r="AX49" i="3"/>
  <c r="AT49" i="3"/>
  <c r="AP49" i="3"/>
  <c r="AX48" i="3"/>
  <c r="AX47" i="3"/>
  <c r="AP47" i="3"/>
  <c r="AP50" i="3"/>
  <c r="AL50" i="3"/>
  <c r="AT48" i="3"/>
  <c r="AP48" i="3"/>
  <c r="AL48" i="3"/>
  <c r="AT47" i="3"/>
  <c r="AX33" i="3"/>
  <c r="AT33" i="3"/>
  <c r="AP33" i="3"/>
  <c r="AL33" i="3"/>
  <c r="AX32" i="3"/>
  <c r="AT32" i="3"/>
  <c r="AT31" i="3"/>
  <c r="AP31" i="3"/>
  <c r="AL31" i="3"/>
  <c r="AX30" i="3"/>
  <c r="AT30" i="3"/>
  <c r="AP30" i="3"/>
  <c r="AX16" i="3"/>
  <c r="AP16" i="3"/>
  <c r="AL16" i="3"/>
  <c r="AX15" i="3"/>
  <c r="AT15" i="3"/>
  <c r="AP14" i="3"/>
  <c r="AT13" i="3"/>
  <c r="AT16" i="3"/>
  <c r="AT14" i="3"/>
  <c r="AL14" i="3"/>
  <c r="AP13" i="3"/>
  <c r="AG220" i="3"/>
  <c r="AG186" i="3"/>
  <c r="Y185" i="3"/>
  <c r="Y184" i="3"/>
  <c r="U184" i="3"/>
  <c r="Y183" i="3"/>
  <c r="U186" i="3"/>
  <c r="AC185" i="3"/>
  <c r="AC184" i="3"/>
  <c r="AC186" i="3"/>
  <c r="Y186" i="3"/>
  <c r="AG185" i="3"/>
  <c r="AG183" i="3"/>
  <c r="AC183" i="3"/>
  <c r="AG169" i="3"/>
  <c r="AC169" i="3"/>
  <c r="AC168" i="3"/>
  <c r="U167" i="3"/>
  <c r="Y169" i="3"/>
  <c r="U169" i="3"/>
  <c r="AG168" i="3"/>
  <c r="AC167" i="3"/>
  <c r="AG166" i="3"/>
  <c r="AC166" i="3"/>
  <c r="Y167" i="3"/>
  <c r="Y166" i="3"/>
  <c r="AG152" i="3"/>
  <c r="Y152" i="3"/>
  <c r="AG151" i="3"/>
  <c r="AC151" i="3"/>
  <c r="AC150" i="3"/>
  <c r="U150" i="3"/>
  <c r="Y149" i="3"/>
  <c r="AC152" i="3"/>
  <c r="U152" i="3"/>
  <c r="Y150" i="3"/>
  <c r="AG149" i="3"/>
  <c r="AC149" i="3"/>
  <c r="AG135" i="3"/>
  <c r="U135" i="3"/>
  <c r="AG134" i="3"/>
  <c r="AC134" i="3"/>
  <c r="AG133" i="3"/>
  <c r="Y133" i="3"/>
  <c r="AG132" i="3"/>
  <c r="Y132" i="3"/>
  <c r="AC133" i="3"/>
  <c r="U133" i="3"/>
  <c r="AC132" i="3"/>
  <c r="AG118" i="3"/>
  <c r="Y118" i="3"/>
  <c r="U118" i="3"/>
  <c r="AG117" i="3"/>
  <c r="Y116" i="3"/>
  <c r="AC117" i="3"/>
  <c r="AG115" i="3"/>
  <c r="Y115" i="3"/>
  <c r="AC118" i="3"/>
  <c r="AG116" i="3"/>
  <c r="U116" i="3"/>
  <c r="AC115" i="3"/>
  <c r="AG101" i="3"/>
  <c r="AC101" i="3"/>
  <c r="Y101" i="3"/>
  <c r="U101" i="3"/>
  <c r="AG100" i="3"/>
  <c r="AC100" i="3"/>
  <c r="AG99" i="3"/>
  <c r="AC99" i="3"/>
  <c r="Y99" i="3"/>
  <c r="AG98" i="3"/>
  <c r="AC98" i="3"/>
  <c r="Y98" i="3"/>
  <c r="AG84" i="3"/>
  <c r="AC84" i="3"/>
  <c r="U84" i="3"/>
  <c r="AG83" i="3"/>
  <c r="Y82" i="3"/>
  <c r="U82" i="3"/>
  <c r="AG81" i="3"/>
  <c r="Y81" i="3"/>
  <c r="Y84" i="3"/>
  <c r="AC83" i="3"/>
  <c r="AG82" i="3"/>
  <c r="AC82" i="3"/>
  <c r="AC81" i="3"/>
  <c r="AG67" i="3"/>
  <c r="AC67" i="3"/>
  <c r="Y67" i="3"/>
  <c r="U67" i="3"/>
  <c r="AC66" i="3"/>
  <c r="Y66" i="3"/>
  <c r="AG64" i="3"/>
  <c r="AC65" i="3"/>
  <c r="Y65" i="3"/>
  <c r="U65" i="3"/>
  <c r="AC64" i="3"/>
  <c r="Y64" i="3"/>
  <c r="AG50" i="3"/>
  <c r="AC50" i="3"/>
  <c r="Y50" i="3"/>
  <c r="U50" i="3"/>
  <c r="AG49" i="3"/>
  <c r="AC49" i="3"/>
  <c r="AG48" i="3"/>
  <c r="Y48" i="3"/>
  <c r="AG47" i="3"/>
  <c r="U48" i="3"/>
  <c r="AC47" i="3"/>
  <c r="Y47" i="3"/>
  <c r="AG33" i="3"/>
  <c r="AC33" i="3"/>
  <c r="Y33" i="3"/>
  <c r="U33" i="3"/>
  <c r="AG32" i="3"/>
  <c r="AC32" i="3"/>
  <c r="AG31" i="3"/>
  <c r="AC31" i="3"/>
  <c r="Y31" i="3"/>
  <c r="U31" i="3"/>
  <c r="AG30" i="3"/>
  <c r="AC30" i="3"/>
  <c r="AG16" i="3"/>
  <c r="Y16" i="3"/>
  <c r="U16" i="3"/>
  <c r="AG15" i="3"/>
  <c r="AC14" i="3"/>
  <c r="U14" i="3"/>
  <c r="AG13" i="3"/>
  <c r="AC13" i="3"/>
  <c r="Y13" i="3"/>
  <c r="AC16" i="3"/>
  <c r="AG14" i="3"/>
  <c r="Y14" i="3"/>
  <c r="P220" i="3"/>
  <c r="P219" i="3"/>
  <c r="D218" i="3"/>
  <c r="L217" i="3"/>
  <c r="L220" i="3"/>
  <c r="H220" i="3"/>
  <c r="D220" i="3"/>
  <c r="L218" i="3"/>
  <c r="H218" i="3"/>
  <c r="L219" i="3"/>
  <c r="H219" i="3"/>
  <c r="P218" i="3"/>
  <c r="P217" i="3"/>
  <c r="H217" i="3"/>
  <c r="P203" i="3"/>
  <c r="L203" i="3"/>
  <c r="H203" i="3"/>
  <c r="P202" i="3"/>
  <c r="P201" i="3"/>
  <c r="L201" i="3"/>
  <c r="H201" i="3"/>
  <c r="D201" i="3"/>
  <c r="L200" i="3"/>
  <c r="H200" i="3"/>
  <c r="P200" i="3"/>
  <c r="P186" i="3"/>
  <c r="L186" i="3"/>
  <c r="P185" i="3"/>
  <c r="L185" i="3"/>
  <c r="L184" i="3"/>
  <c r="P183" i="3"/>
  <c r="H186" i="3"/>
  <c r="D185" i="3"/>
  <c r="H184" i="3"/>
  <c r="D184" i="3"/>
  <c r="L183" i="3"/>
  <c r="H183" i="3"/>
  <c r="P169" i="3"/>
  <c r="H169" i="3"/>
  <c r="D169" i="3"/>
  <c r="P168" i="3"/>
  <c r="L168" i="3"/>
  <c r="H168" i="3"/>
  <c r="P167" i="3"/>
  <c r="L167" i="3"/>
  <c r="H167" i="3"/>
  <c r="D167" i="3"/>
  <c r="L166" i="3"/>
  <c r="H166" i="3"/>
  <c r="P152" i="3"/>
  <c r="L152" i="3"/>
  <c r="H152" i="3"/>
  <c r="D152" i="3"/>
  <c r="P151" i="3"/>
  <c r="L151" i="3"/>
  <c r="P150" i="3"/>
  <c r="H150" i="3"/>
  <c r="D150" i="3"/>
  <c r="P149" i="3"/>
  <c r="L150" i="3"/>
  <c r="L149" i="3"/>
  <c r="P135" i="3"/>
  <c r="L135" i="3"/>
  <c r="H135" i="3"/>
  <c r="D135" i="3"/>
  <c r="P134" i="3"/>
  <c r="L134" i="3"/>
  <c r="P133" i="3"/>
  <c r="D133" i="3"/>
  <c r="P132" i="3"/>
  <c r="L132" i="3"/>
  <c r="H132" i="3"/>
  <c r="P118" i="3"/>
  <c r="L118" i="3"/>
  <c r="P117" i="3"/>
  <c r="P116" i="3"/>
  <c r="D118" i="3"/>
  <c r="L116" i="3"/>
  <c r="D116" i="3"/>
  <c r="H115" i="3"/>
  <c r="L117" i="3"/>
  <c r="H116" i="3"/>
  <c r="L115" i="3"/>
  <c r="H118" i="3"/>
  <c r="P115" i="3"/>
  <c r="P101" i="3"/>
  <c r="H101" i="3"/>
  <c r="D99" i="3"/>
  <c r="L101" i="3"/>
  <c r="L100" i="3"/>
  <c r="P99" i="3"/>
  <c r="L99" i="3"/>
  <c r="H99" i="3"/>
  <c r="P98" i="3"/>
  <c r="H98" i="3"/>
  <c r="L98" i="3"/>
  <c r="P84" i="3"/>
  <c r="L84" i="3"/>
  <c r="D84" i="3"/>
  <c r="P83" i="3"/>
  <c r="L83" i="3"/>
  <c r="L82" i="3"/>
  <c r="H82" i="3"/>
  <c r="P81" i="3"/>
  <c r="H81" i="3"/>
  <c r="D82" i="3"/>
  <c r="L81" i="3"/>
  <c r="H84" i="3"/>
  <c r="P82" i="3"/>
  <c r="P67" i="3"/>
  <c r="L67" i="3"/>
  <c r="D67" i="3"/>
  <c r="P65" i="3"/>
  <c r="L65" i="3"/>
  <c r="H65" i="3"/>
  <c r="D65" i="3"/>
  <c r="H67" i="3"/>
  <c r="P66" i="3"/>
  <c r="L66" i="3"/>
  <c r="P64" i="3"/>
  <c r="L64" i="3"/>
  <c r="H64" i="3"/>
  <c r="P50" i="3"/>
  <c r="L50" i="3"/>
  <c r="D50" i="3"/>
  <c r="L49" i="3"/>
  <c r="H49" i="3"/>
  <c r="P48" i="3"/>
  <c r="L48" i="3"/>
  <c r="D48" i="3"/>
  <c r="P47" i="3"/>
  <c r="H47" i="3"/>
  <c r="H48" i="3"/>
  <c r="L47" i="3"/>
  <c r="P33" i="3"/>
  <c r="L33" i="3"/>
  <c r="H33" i="3"/>
  <c r="D33" i="3"/>
  <c r="P32" i="3"/>
  <c r="L32" i="3"/>
  <c r="H32" i="3"/>
  <c r="D32" i="3"/>
  <c r="P31" i="3"/>
  <c r="L31" i="3"/>
  <c r="H31" i="3"/>
  <c r="D31" i="3"/>
  <c r="P30" i="3"/>
  <c r="L30" i="3"/>
  <c r="P16" i="3"/>
  <c r="D16" i="3"/>
  <c r="P15" i="3"/>
  <c r="L14" i="3"/>
  <c r="P14" i="3"/>
  <c r="H14" i="3"/>
  <c r="L16" i="3"/>
  <c r="L13" i="3"/>
  <c r="H16" i="3"/>
  <c r="L15" i="3"/>
  <c r="H15" i="3"/>
  <c r="D14" i="3"/>
  <c r="P13" i="3"/>
  <c r="H13" i="3"/>
  <c r="J10" i="3"/>
  <c r="L10" i="3" s="1"/>
  <c r="J8" i="3"/>
  <c r="L8" i="3" s="1"/>
  <c r="N9" i="3"/>
  <c r="P9" i="3" s="1"/>
  <c r="N8" i="3"/>
  <c r="P8" i="3" s="1"/>
  <c r="N11" i="3"/>
  <c r="P11" i="3" s="1"/>
  <c r="N10" i="3"/>
  <c r="P10" i="3" s="1"/>
  <c r="J11" i="3"/>
  <c r="L11" i="3" s="1"/>
  <c r="J9" i="3"/>
  <c r="L9" i="3" s="1"/>
  <c r="O31" i="2"/>
  <c r="O30" i="2"/>
  <c r="O29" i="2"/>
  <c r="O28" i="2"/>
  <c r="O26" i="2"/>
  <c r="O25" i="2"/>
  <c r="O24" i="2"/>
  <c r="O23" i="2"/>
  <c r="O21" i="2"/>
  <c r="O20" i="2"/>
  <c r="O19" i="2"/>
  <c r="O18" i="2"/>
  <c r="O16" i="2"/>
  <c r="O15" i="2"/>
  <c r="O14" i="2"/>
  <c r="O13" i="2"/>
  <c r="O11" i="2"/>
  <c r="O10" i="2"/>
  <c r="O9" i="2"/>
  <c r="O8" i="2"/>
  <c r="O6" i="2"/>
  <c r="O5" i="2"/>
  <c r="O4" i="2"/>
  <c r="AJ344" i="3" s="1"/>
  <c r="AL344" i="3" s="1"/>
  <c r="O3" i="2"/>
  <c r="AJ343" i="3" s="1"/>
  <c r="AL343" i="3" s="1"/>
  <c r="AX184" i="3" l="1"/>
  <c r="AX99" i="3"/>
  <c r="AG167" i="3"/>
  <c r="P354" i="3"/>
  <c r="AX167" i="3"/>
  <c r="AX116" i="3"/>
  <c r="AX82" i="3"/>
  <c r="AX31" i="3"/>
  <c r="AG184" i="3"/>
  <c r="AG150" i="3"/>
  <c r="AX354" i="3"/>
  <c r="AG354" i="3"/>
  <c r="AG337" i="3"/>
  <c r="P337" i="3"/>
  <c r="AX337" i="3"/>
  <c r="AX320" i="3"/>
  <c r="AG320" i="3"/>
  <c r="P320" i="3"/>
  <c r="AX201" i="3"/>
  <c r="AX150" i="3"/>
  <c r="AX65" i="3"/>
  <c r="AX14" i="3"/>
  <c r="AG65" i="3"/>
  <c r="P184" i="3"/>
  <c r="AX13" i="3"/>
  <c r="AG200" i="3"/>
  <c r="L356" i="3"/>
  <c r="AC339" i="3"/>
  <c r="AT322" i="3"/>
  <c r="AT356" i="3"/>
  <c r="L339" i="3"/>
  <c r="L322" i="3"/>
  <c r="AC356" i="3"/>
  <c r="AT339" i="3"/>
  <c r="AC322" i="3"/>
  <c r="AC135" i="3"/>
  <c r="L338" i="3"/>
  <c r="AT321" i="3"/>
  <c r="L321" i="3"/>
  <c r="L253" i="3"/>
  <c r="AT185" i="3"/>
  <c r="AC15" i="3"/>
  <c r="AT355" i="3"/>
  <c r="L355" i="3"/>
  <c r="AC355" i="3"/>
  <c r="AC338" i="3"/>
  <c r="AT338" i="3"/>
  <c r="AC321" i="3"/>
  <c r="AC116" i="3"/>
  <c r="L133" i="3"/>
  <c r="AP185" i="3"/>
  <c r="AP134" i="3"/>
  <c r="AP32" i="3"/>
  <c r="Y117" i="3"/>
  <c r="Y83" i="3"/>
  <c r="Y49" i="3"/>
  <c r="H134" i="3"/>
  <c r="H100" i="3"/>
  <c r="AP202" i="3"/>
  <c r="AP151" i="3"/>
  <c r="Y168" i="3"/>
  <c r="Y100" i="3"/>
  <c r="Y32" i="3"/>
  <c r="H185" i="3"/>
  <c r="H355" i="3"/>
  <c r="AP168" i="3"/>
  <c r="AP15" i="3"/>
  <c r="Y134" i="3"/>
  <c r="Y15" i="3"/>
  <c r="H202" i="3"/>
  <c r="H151" i="3"/>
  <c r="H117" i="3"/>
  <c r="H66" i="3"/>
  <c r="AP100" i="3"/>
  <c r="AP83" i="3"/>
  <c r="AP66" i="3"/>
  <c r="Y151" i="3"/>
  <c r="H269" i="3"/>
  <c r="H303" i="3"/>
  <c r="H286" i="3"/>
  <c r="Y285" i="3"/>
  <c r="U287" i="3"/>
  <c r="AL185" i="3"/>
  <c r="AL49" i="3"/>
  <c r="AL253" i="3"/>
  <c r="D236" i="3"/>
  <c r="AL168" i="3"/>
  <c r="AL100" i="3"/>
  <c r="AL32" i="3"/>
  <c r="U151" i="3"/>
  <c r="U100" i="3"/>
  <c r="U49" i="3"/>
  <c r="D219" i="3"/>
  <c r="D168" i="3"/>
  <c r="D134" i="3"/>
  <c r="D83" i="3"/>
  <c r="D15" i="3"/>
  <c r="AL355" i="3"/>
  <c r="U355" i="3"/>
  <c r="D338" i="3"/>
  <c r="U321" i="3"/>
  <c r="D304" i="3"/>
  <c r="AL270" i="3"/>
  <c r="D270" i="3"/>
  <c r="D253" i="3"/>
  <c r="U236" i="3"/>
  <c r="AL202" i="3"/>
  <c r="AL134" i="3"/>
  <c r="AL83" i="3"/>
  <c r="AL15" i="3"/>
  <c r="U168" i="3"/>
  <c r="U117" i="3"/>
  <c r="U66" i="3"/>
  <c r="U15" i="3"/>
  <c r="D355" i="3"/>
  <c r="U338" i="3"/>
  <c r="AL321" i="3"/>
  <c r="D321" i="3"/>
  <c r="D287" i="3"/>
  <c r="U270" i="3"/>
  <c r="AL287" i="3"/>
  <c r="AL236" i="3"/>
  <c r="AL219" i="3"/>
  <c r="AL151" i="3"/>
  <c r="AL117" i="3"/>
  <c r="AL66" i="3"/>
  <c r="U185" i="3"/>
  <c r="U134" i="3"/>
  <c r="U83" i="3"/>
  <c r="U32" i="3"/>
  <c r="D202" i="3"/>
  <c r="D151" i="3"/>
  <c r="D117" i="3"/>
  <c r="D100" i="3"/>
  <c r="D49" i="3"/>
  <c r="AL353" i="3"/>
  <c r="AL336" i="3"/>
  <c r="U302" i="3"/>
  <c r="AL251" i="3"/>
  <c r="U353" i="3"/>
  <c r="U336" i="3"/>
  <c r="AL319" i="3"/>
  <c r="D285" i="3"/>
  <c r="U251" i="3"/>
  <c r="AL234" i="3"/>
  <c r="D353" i="3"/>
  <c r="D336" i="3"/>
  <c r="U319" i="3"/>
  <c r="D302" i="3"/>
  <c r="D268" i="3"/>
  <c r="D251" i="3"/>
  <c r="U234" i="3"/>
  <c r="D234" i="3"/>
  <c r="AL217" i="3"/>
  <c r="AL200" i="3"/>
  <c r="AL183" i="3"/>
  <c r="AL166" i="3"/>
  <c r="AL149" i="3"/>
  <c r="AL132" i="3"/>
  <c r="AL115" i="3"/>
  <c r="AL98" i="3"/>
  <c r="AL81" i="3"/>
  <c r="AL64" i="3"/>
  <c r="AL47" i="3"/>
  <c r="AL30" i="3"/>
  <c r="AL13" i="3"/>
  <c r="U183" i="3"/>
  <c r="U166" i="3"/>
  <c r="U149" i="3"/>
  <c r="U132" i="3"/>
  <c r="U115" i="3"/>
  <c r="U98" i="3"/>
  <c r="U81" i="3"/>
  <c r="U64" i="3"/>
  <c r="U47" i="3"/>
  <c r="U30" i="3"/>
  <c r="U13" i="3"/>
  <c r="D217" i="3"/>
  <c r="D200" i="3"/>
  <c r="D183" i="3"/>
  <c r="D166" i="3"/>
  <c r="D149" i="3"/>
  <c r="D115" i="3"/>
  <c r="D98" i="3"/>
  <c r="D81" i="3"/>
  <c r="D64" i="3"/>
  <c r="D47" i="3"/>
  <c r="D30" i="3"/>
  <c r="D13" i="3"/>
  <c r="D319" i="3"/>
  <c r="AX305" i="3"/>
  <c r="AT305" i="3"/>
  <c r="AP305" i="3"/>
  <c r="AL305" i="3"/>
  <c r="AX304" i="3"/>
  <c r="AT304" i="3"/>
  <c r="AP304" i="3"/>
  <c r="AL304" i="3"/>
  <c r="AX303" i="3"/>
  <c r="AT303" i="3"/>
  <c r="AP303" i="3"/>
  <c r="AL303" i="3"/>
  <c r="AX302" i="3"/>
  <c r="AT302" i="3"/>
  <c r="AP302" i="3"/>
  <c r="AL302" i="3"/>
  <c r="AT298" i="3"/>
  <c r="AG305" i="3"/>
  <c r="AC305" i="3"/>
  <c r="Y305" i="3"/>
  <c r="U305" i="3"/>
  <c r="AG304" i="3"/>
  <c r="AC304" i="3"/>
  <c r="Y304" i="3"/>
  <c r="U304" i="3"/>
  <c r="AG303" i="3"/>
  <c r="AC303" i="3"/>
  <c r="Y303" i="3"/>
  <c r="U303" i="3"/>
  <c r="L298" i="3"/>
  <c r="D286" i="3"/>
  <c r="AP285" i="3"/>
  <c r="AT271" i="3"/>
  <c r="AL271" i="3"/>
  <c r="AC271" i="3"/>
  <c r="L271" i="3"/>
  <c r="H271" i="3"/>
  <c r="AX285" i="3"/>
  <c r="AL285" i="3"/>
  <c r="AC285" i="3"/>
  <c r="H285" i="3"/>
  <c r="AC253" i="3"/>
  <c r="U253" i="3"/>
  <c r="AP252" i="3"/>
  <c r="Y252" i="3"/>
  <c r="P252" i="3"/>
  <c r="AG251" i="3"/>
  <c r="AL252" i="3"/>
  <c r="AC220" i="3"/>
  <c r="Y220" i="3"/>
  <c r="U220" i="3"/>
  <c r="AG219" i="3"/>
  <c r="AC219" i="3"/>
  <c r="Y219" i="3"/>
  <c r="U219" i="3"/>
  <c r="AG218" i="3"/>
  <c r="AC218" i="3"/>
  <c r="Y218" i="3"/>
  <c r="U218" i="3"/>
  <c r="AG217" i="3"/>
  <c r="AC217" i="3"/>
  <c r="Y217" i="3"/>
  <c r="U217" i="3"/>
  <c r="AG203" i="3"/>
  <c r="Y203" i="3"/>
  <c r="AC202" i="3"/>
  <c r="U201" i="3"/>
  <c r="AC203" i="3"/>
  <c r="U203" i="3"/>
  <c r="AG202" i="3"/>
  <c r="Y202" i="3"/>
  <c r="U202" i="3"/>
  <c r="AG201" i="3"/>
  <c r="AC201" i="3"/>
  <c r="Y201" i="3"/>
  <c r="AC200" i="3"/>
  <c r="Y200" i="3"/>
  <c r="U200" i="3"/>
  <c r="D203" i="3"/>
  <c r="L202" i="3"/>
  <c r="D186" i="3"/>
  <c r="P350" i="3"/>
  <c r="AC315" i="3"/>
  <c r="AC314" i="3"/>
  <c r="L314" i="3"/>
  <c r="L315" i="3"/>
  <c r="AX299" i="3"/>
  <c r="AC297" i="3"/>
  <c r="L297" i="3"/>
  <c r="AT351" i="3"/>
  <c r="AC351" i="3"/>
  <c r="AT334" i="3"/>
  <c r="AC334" i="3"/>
  <c r="L334" i="3"/>
  <c r="AT317" i="3"/>
  <c r="AC317" i="3"/>
  <c r="L317" i="3"/>
  <c r="AT300" i="3"/>
  <c r="L300" i="3"/>
  <c r="L266" i="3"/>
  <c r="L249" i="3"/>
  <c r="AC232" i="3"/>
  <c r="AT198" i="3"/>
  <c r="AT147" i="3"/>
  <c r="AT45" i="3"/>
  <c r="AT11" i="3"/>
  <c r="AC181" i="3"/>
  <c r="AC130" i="3"/>
  <c r="AC96" i="3"/>
  <c r="AC45" i="3"/>
  <c r="L181" i="3"/>
  <c r="L147" i="3"/>
  <c r="L79" i="3"/>
  <c r="AC113" i="3"/>
  <c r="L164" i="3"/>
  <c r="L62" i="3"/>
  <c r="AC300" i="3"/>
  <c r="AT249" i="3"/>
  <c r="AT232" i="3"/>
  <c r="AT181" i="3"/>
  <c r="AT130" i="3"/>
  <c r="AT62" i="3"/>
  <c r="AC215" i="3"/>
  <c r="AC164" i="3"/>
  <c r="AC79" i="3"/>
  <c r="L215" i="3"/>
  <c r="L113" i="3"/>
  <c r="L28" i="3"/>
  <c r="AT283" i="3"/>
  <c r="L283" i="3"/>
  <c r="AC266" i="3"/>
  <c r="AC249" i="3"/>
  <c r="L232" i="3"/>
  <c r="AT215" i="3"/>
  <c r="AT113" i="3"/>
  <c r="AT96" i="3"/>
  <c r="AT28" i="3"/>
  <c r="AC198" i="3"/>
  <c r="AC147" i="3"/>
  <c r="AC62" i="3"/>
  <c r="AC11" i="3"/>
  <c r="L130" i="3"/>
  <c r="L45" i="3"/>
  <c r="AT164" i="3"/>
  <c r="L198" i="3"/>
  <c r="L96" i="3"/>
  <c r="AT350" i="3"/>
  <c r="AC350" i="3"/>
  <c r="L350" i="3"/>
  <c r="AC333" i="3"/>
  <c r="AT333" i="3"/>
  <c r="L333" i="3"/>
  <c r="AT316" i="3"/>
  <c r="AC316" i="3"/>
  <c r="L316" i="3"/>
  <c r="AT299" i="3"/>
  <c r="AC214" i="3"/>
  <c r="AC180" i="3"/>
  <c r="AC146" i="3"/>
  <c r="AC95" i="3"/>
  <c r="AC61" i="3"/>
  <c r="AC10" i="3"/>
  <c r="L197" i="3"/>
  <c r="L146" i="3"/>
  <c r="L44" i="3"/>
  <c r="AC27" i="3"/>
  <c r="AC299" i="3"/>
  <c r="L299" i="3"/>
  <c r="L265" i="3"/>
  <c r="AC265" i="3"/>
  <c r="AC282" i="3"/>
  <c r="L282" i="3"/>
  <c r="AT248" i="3"/>
  <c r="AC248" i="3"/>
  <c r="L248" i="3"/>
  <c r="AT231" i="3"/>
  <c r="AC231" i="3"/>
  <c r="L231" i="3"/>
  <c r="AT214" i="3"/>
  <c r="AT197" i="3"/>
  <c r="AT180" i="3"/>
  <c r="AT163" i="3"/>
  <c r="AT146" i="3"/>
  <c r="AT129" i="3"/>
  <c r="AT95" i="3"/>
  <c r="AT78" i="3"/>
  <c r="AT44" i="3"/>
  <c r="AT27" i="3"/>
  <c r="AT10" i="3"/>
  <c r="AC197" i="3"/>
  <c r="AC163" i="3"/>
  <c r="AC129" i="3"/>
  <c r="AC112" i="3"/>
  <c r="AC44" i="3"/>
  <c r="L214" i="3"/>
  <c r="L180" i="3"/>
  <c r="L129" i="3"/>
  <c r="L112" i="3"/>
  <c r="L163" i="3"/>
  <c r="L95" i="3"/>
  <c r="L78" i="3"/>
  <c r="L61" i="3"/>
  <c r="L27" i="3"/>
  <c r="L349" i="3"/>
  <c r="L332" i="3"/>
  <c r="AT332" i="3"/>
  <c r="AT349" i="3"/>
  <c r="AC349" i="3"/>
  <c r="L247" i="3"/>
  <c r="AT315" i="3"/>
  <c r="AC281" i="3"/>
  <c r="L264" i="3"/>
  <c r="AT281" i="3"/>
  <c r="L281" i="3"/>
  <c r="AT247" i="3"/>
  <c r="AC247" i="3"/>
  <c r="AC162" i="3"/>
  <c r="AC128" i="3"/>
  <c r="AC179" i="3"/>
  <c r="AC145" i="3"/>
  <c r="AT230" i="3"/>
  <c r="AC230" i="3"/>
  <c r="L230" i="3"/>
  <c r="AT213" i="3"/>
  <c r="AT196" i="3"/>
  <c r="AT179" i="3"/>
  <c r="AT145" i="3"/>
  <c r="AT128" i="3"/>
  <c r="AT111" i="3"/>
  <c r="AT94" i="3"/>
  <c r="AT77" i="3"/>
  <c r="AT60" i="3"/>
  <c r="AT43" i="3"/>
  <c r="AT26" i="3"/>
  <c r="AT9" i="3"/>
  <c r="AC213" i="3"/>
  <c r="AC196" i="3"/>
  <c r="AC111" i="3"/>
  <c r="AC94" i="3"/>
  <c r="AC60" i="3"/>
  <c r="AC43" i="3"/>
  <c r="AC26" i="3"/>
  <c r="AC9" i="3"/>
  <c r="L213" i="3"/>
  <c r="L196" i="3"/>
  <c r="L179" i="3"/>
  <c r="L162" i="3"/>
  <c r="L145" i="3"/>
  <c r="L128" i="3"/>
  <c r="L111" i="3"/>
  <c r="L94" i="3"/>
  <c r="L77" i="3"/>
  <c r="L60" i="3"/>
  <c r="L43" i="3"/>
  <c r="L26" i="3"/>
  <c r="L348" i="3"/>
  <c r="AT314" i="3"/>
  <c r="AT348" i="3"/>
  <c r="AC348" i="3"/>
  <c r="AC331" i="3"/>
  <c r="AT297" i="3"/>
  <c r="AT280" i="3"/>
  <c r="AT331" i="3"/>
  <c r="L331" i="3"/>
  <c r="L280" i="3"/>
  <c r="L263" i="3"/>
  <c r="AC263" i="3"/>
  <c r="L161" i="3"/>
  <c r="L25" i="3"/>
  <c r="AT263" i="3"/>
  <c r="AT246" i="3"/>
  <c r="AC246" i="3"/>
  <c r="L246" i="3"/>
  <c r="AT229" i="3"/>
  <c r="AC229" i="3"/>
  <c r="AT127" i="3"/>
  <c r="AC127" i="3"/>
  <c r="AC25" i="3"/>
  <c r="L127" i="3"/>
  <c r="L229" i="3"/>
  <c r="AT212" i="3"/>
  <c r="AT195" i="3"/>
  <c r="AT178" i="3"/>
  <c r="AT161" i="3"/>
  <c r="AT144" i="3"/>
  <c r="AC178" i="3"/>
  <c r="AC110" i="3"/>
  <c r="L195" i="3"/>
  <c r="L76" i="3"/>
  <c r="AT110" i="3"/>
  <c r="AT93" i="3"/>
  <c r="AT76" i="3"/>
  <c r="AT59" i="3"/>
  <c r="AT42" i="3"/>
  <c r="AT25" i="3"/>
  <c r="AT8" i="3"/>
  <c r="AC161" i="3"/>
  <c r="AC59" i="3"/>
  <c r="AC8" i="3"/>
  <c r="L144" i="3"/>
  <c r="L59" i="3"/>
  <c r="AC212" i="3"/>
  <c r="AC195" i="3"/>
  <c r="AC144" i="3"/>
  <c r="L212" i="3"/>
  <c r="L110" i="3"/>
  <c r="AC93" i="3"/>
  <c r="AC76" i="3"/>
  <c r="AC42" i="3"/>
  <c r="L178" i="3"/>
  <c r="L93" i="3"/>
  <c r="L42" i="3"/>
  <c r="AX350" i="3"/>
  <c r="AG350" i="3"/>
  <c r="AG316" i="3"/>
  <c r="P282" i="3"/>
  <c r="AX282" i="3"/>
  <c r="AG163" i="3"/>
  <c r="AG146" i="3"/>
  <c r="AG61" i="3"/>
  <c r="P248" i="3"/>
  <c r="AX248" i="3"/>
  <c r="AG95" i="3"/>
  <c r="P180" i="3"/>
  <c r="P163" i="3"/>
  <c r="P95" i="3"/>
  <c r="P44" i="3"/>
  <c r="AG232" i="3"/>
  <c r="P164" i="3"/>
  <c r="P62" i="3"/>
  <c r="AX351" i="3"/>
  <c r="AG351" i="3"/>
  <c r="AG334" i="3"/>
  <c r="P334" i="3"/>
  <c r="AX317" i="3"/>
  <c r="AG317" i="3"/>
  <c r="P317" i="3"/>
  <c r="AX300" i="3"/>
  <c r="AG300" i="3"/>
  <c r="P300" i="3"/>
  <c r="P266" i="3"/>
  <c r="AG266" i="3"/>
  <c r="AX249" i="3"/>
  <c r="P249" i="3"/>
  <c r="AX232" i="3"/>
  <c r="P232" i="3"/>
  <c r="AX198" i="3"/>
  <c r="AG28" i="3"/>
  <c r="P215" i="3"/>
  <c r="P147" i="3"/>
  <c r="P79" i="3"/>
  <c r="AG249" i="3"/>
  <c r="AX215" i="3"/>
  <c r="P181" i="3"/>
  <c r="P113" i="3"/>
  <c r="AX181" i="3"/>
  <c r="AX164" i="3"/>
  <c r="AX147" i="3"/>
  <c r="AX130" i="3"/>
  <c r="AX113" i="3"/>
  <c r="AX96" i="3"/>
  <c r="AX79" i="3"/>
  <c r="AX62" i="3"/>
  <c r="AX45" i="3"/>
  <c r="AX28" i="3"/>
  <c r="AX11" i="3"/>
  <c r="AG215" i="3"/>
  <c r="AG198" i="3"/>
  <c r="AG181" i="3"/>
  <c r="AG164" i="3"/>
  <c r="AG147" i="3"/>
  <c r="AG130" i="3"/>
  <c r="AG113" i="3"/>
  <c r="AG79" i="3"/>
  <c r="AG62" i="3"/>
  <c r="AG45" i="3"/>
  <c r="AG11" i="3"/>
  <c r="P198" i="3"/>
  <c r="P130" i="3"/>
  <c r="P96" i="3"/>
  <c r="P28" i="3"/>
  <c r="P45" i="3"/>
  <c r="AX333" i="3"/>
  <c r="P333" i="3"/>
  <c r="AX316" i="3"/>
  <c r="P316" i="3"/>
  <c r="AG299" i="3"/>
  <c r="AG248" i="3"/>
  <c r="P231" i="3"/>
  <c r="AX180" i="3"/>
  <c r="AG214" i="3"/>
  <c r="AG180" i="3"/>
  <c r="P197" i="3"/>
  <c r="P146" i="3"/>
  <c r="P27" i="3"/>
  <c r="AG333" i="3"/>
  <c r="AX197" i="3"/>
  <c r="P214" i="3"/>
  <c r="P78" i="3"/>
  <c r="AG129" i="3"/>
  <c r="AG265" i="3"/>
  <c r="AG282" i="3"/>
  <c r="AX265" i="3"/>
  <c r="P265" i="3"/>
  <c r="AG231" i="3"/>
  <c r="AX214" i="3"/>
  <c r="AX10" i="3"/>
  <c r="AG197" i="3"/>
  <c r="AG112" i="3"/>
  <c r="AG27" i="3"/>
  <c r="P129" i="3"/>
  <c r="AX231" i="3"/>
  <c r="AG44" i="3"/>
  <c r="P61" i="3"/>
  <c r="AX146" i="3"/>
  <c r="AX129" i="3"/>
  <c r="AX95" i="3"/>
  <c r="AX78" i="3"/>
  <c r="AX44" i="3"/>
  <c r="AX27" i="3"/>
  <c r="AG78" i="3"/>
  <c r="AX348" i="3"/>
  <c r="AG348" i="3"/>
  <c r="P348" i="3"/>
  <c r="AG331" i="3"/>
  <c r="AX314" i="3"/>
  <c r="AG314" i="3"/>
  <c r="AG8" i="3"/>
  <c r="AG59" i="3"/>
  <c r="P195" i="3"/>
  <c r="P178" i="3"/>
  <c r="AX349" i="3"/>
  <c r="AG349" i="3"/>
  <c r="P349" i="3"/>
  <c r="AX332" i="3"/>
  <c r="AG332" i="3"/>
  <c r="AX315" i="3"/>
  <c r="AG315" i="3"/>
  <c r="P315" i="3"/>
  <c r="AX298" i="3"/>
  <c r="AG298" i="3"/>
  <c r="P298" i="3"/>
  <c r="AG264" i="3"/>
  <c r="AX281" i="3"/>
  <c r="P264" i="3"/>
  <c r="P281" i="3"/>
  <c r="AX264" i="3"/>
  <c r="AX247" i="3"/>
  <c r="P247" i="3"/>
  <c r="AG247" i="3"/>
  <c r="AX230" i="3"/>
  <c r="AG230" i="3"/>
  <c r="P230" i="3"/>
  <c r="AX213" i="3"/>
  <c r="AX196" i="3"/>
  <c r="AX179" i="3"/>
  <c r="AX162" i="3"/>
  <c r="AX145" i="3"/>
  <c r="AX111" i="3"/>
  <c r="AX77" i="3"/>
  <c r="AX60" i="3"/>
  <c r="AX26" i="3"/>
  <c r="AX9" i="3"/>
  <c r="AG213" i="3"/>
  <c r="AG179" i="3"/>
  <c r="AG111" i="3"/>
  <c r="AG77" i="3"/>
  <c r="AG26" i="3"/>
  <c r="P213" i="3"/>
  <c r="P179" i="3"/>
  <c r="AX128" i="3"/>
  <c r="AX94" i="3"/>
  <c r="AX43" i="3"/>
  <c r="AG196" i="3"/>
  <c r="AG162" i="3"/>
  <c r="AG60" i="3"/>
  <c r="AG9" i="3"/>
  <c r="AG145" i="3"/>
  <c r="AG128" i="3"/>
  <c r="AG94" i="3"/>
  <c r="AG43" i="3"/>
  <c r="P196" i="3"/>
  <c r="P162" i="3"/>
  <c r="P145" i="3"/>
  <c r="P128" i="3"/>
  <c r="P111" i="3"/>
  <c r="P94" i="3"/>
  <c r="P77" i="3"/>
  <c r="P60" i="3"/>
  <c r="P43" i="3"/>
  <c r="P26" i="3"/>
  <c r="P314" i="3"/>
  <c r="AX297" i="3"/>
  <c r="AG297" i="3"/>
  <c r="P297" i="3"/>
  <c r="AG280" i="3"/>
  <c r="P263" i="3"/>
  <c r="AX263" i="3"/>
  <c r="AG263" i="3"/>
  <c r="AX280" i="3"/>
  <c r="AG246" i="3"/>
  <c r="AX246" i="3"/>
  <c r="P246" i="3"/>
  <c r="AX229" i="3"/>
  <c r="AG229" i="3"/>
  <c r="P229" i="3"/>
  <c r="AX212" i="3"/>
  <c r="AX195" i="3"/>
  <c r="AX178" i="3"/>
  <c r="AX161" i="3"/>
  <c r="AX144" i="3"/>
  <c r="AX127" i="3"/>
  <c r="AX93" i="3"/>
  <c r="AX59" i="3"/>
  <c r="AX25" i="3"/>
  <c r="AX8" i="3"/>
  <c r="AG178" i="3"/>
  <c r="AG161" i="3"/>
  <c r="AG127" i="3"/>
  <c r="AG93" i="3"/>
  <c r="AG42" i="3"/>
  <c r="AX110" i="3"/>
  <c r="AX42" i="3"/>
  <c r="AG212" i="3"/>
  <c r="AG195" i="3"/>
  <c r="AG144" i="3"/>
  <c r="AG110" i="3"/>
  <c r="AG76" i="3"/>
  <c r="AG25" i="3"/>
  <c r="P212" i="3"/>
  <c r="P161" i="3"/>
  <c r="P144" i="3"/>
  <c r="P127" i="3"/>
  <c r="P110" i="3"/>
  <c r="P93" i="3"/>
  <c r="P76" i="3"/>
  <c r="P59" i="3"/>
  <c r="P42" i="3"/>
  <c r="P25" i="3"/>
  <c r="AN350" i="3"/>
  <c r="AP350" i="3" s="1"/>
  <c r="W350" i="3"/>
  <c r="Y350" i="3" s="1"/>
  <c r="F350" i="3"/>
  <c r="H350" i="3" s="1"/>
  <c r="W333" i="3"/>
  <c r="Y333" i="3" s="1"/>
  <c r="F333" i="3"/>
  <c r="H333" i="3" s="1"/>
  <c r="W316" i="3"/>
  <c r="Y316" i="3" s="1"/>
  <c r="F316" i="3"/>
  <c r="H316" i="3" s="1"/>
  <c r="W282" i="3"/>
  <c r="Y282" i="3" s="1"/>
  <c r="AN265" i="3"/>
  <c r="AP265" i="3" s="1"/>
  <c r="F265" i="3"/>
  <c r="H265" i="3" s="1"/>
  <c r="W248" i="3"/>
  <c r="Y248" i="3" s="1"/>
  <c r="F248" i="3"/>
  <c r="H248" i="3" s="1"/>
  <c r="AN333" i="3"/>
  <c r="AP333" i="3" s="1"/>
  <c r="AN316" i="3"/>
  <c r="AP316" i="3" s="1"/>
  <c r="AN299" i="3"/>
  <c r="AP299" i="3" s="1"/>
  <c r="W299" i="3"/>
  <c r="Y299" i="3" s="1"/>
  <c r="F299" i="3"/>
  <c r="H299" i="3" s="1"/>
  <c r="AN282" i="3"/>
  <c r="AP282" i="3" s="1"/>
  <c r="F282" i="3"/>
  <c r="H282" i="3" s="1"/>
  <c r="W265" i="3"/>
  <c r="Y265" i="3" s="1"/>
  <c r="AN248" i="3"/>
  <c r="AP248" i="3" s="1"/>
  <c r="AN231" i="3"/>
  <c r="AP231" i="3" s="1"/>
  <c r="W231" i="3"/>
  <c r="Y231" i="3" s="1"/>
  <c r="F231" i="3"/>
  <c r="H231" i="3" s="1"/>
  <c r="AN214" i="3"/>
  <c r="AP214" i="3" s="1"/>
  <c r="AN129" i="3"/>
  <c r="AP129" i="3" s="1"/>
  <c r="AN61" i="3"/>
  <c r="AP61" i="3" s="1"/>
  <c r="AN27" i="3"/>
  <c r="AP27" i="3" s="1"/>
  <c r="W214" i="3"/>
  <c r="Y214" i="3" s="1"/>
  <c r="W197" i="3"/>
  <c r="Y197" i="3" s="1"/>
  <c r="W163" i="3"/>
  <c r="Y163" i="3" s="1"/>
  <c r="W129" i="3"/>
  <c r="Y129" i="3" s="1"/>
  <c r="W112" i="3"/>
  <c r="Y112" i="3" s="1"/>
  <c r="W61" i="3"/>
  <c r="Y61" i="3" s="1"/>
  <c r="F214" i="3"/>
  <c r="H214" i="3" s="1"/>
  <c r="F180" i="3"/>
  <c r="H180" i="3" s="1"/>
  <c r="F112" i="3"/>
  <c r="H112" i="3" s="1"/>
  <c r="F61" i="3"/>
  <c r="H61" i="3" s="1"/>
  <c r="AN197" i="3"/>
  <c r="AP197" i="3" s="1"/>
  <c r="AN180" i="3"/>
  <c r="AP180" i="3" s="1"/>
  <c r="AN163" i="3"/>
  <c r="AP163" i="3" s="1"/>
  <c r="AN146" i="3"/>
  <c r="AP146" i="3" s="1"/>
  <c r="AN95" i="3"/>
  <c r="AP95" i="3" s="1"/>
  <c r="AN44" i="3"/>
  <c r="AP44" i="3" s="1"/>
  <c r="W95" i="3"/>
  <c r="Y95" i="3" s="1"/>
  <c r="W44" i="3"/>
  <c r="Y44" i="3" s="1"/>
  <c r="F197" i="3"/>
  <c r="H197" i="3" s="1"/>
  <c r="F163" i="3"/>
  <c r="H163" i="3" s="1"/>
  <c r="F146" i="3"/>
  <c r="H146" i="3" s="1"/>
  <c r="F95" i="3"/>
  <c r="H95" i="3" s="1"/>
  <c r="F44" i="3"/>
  <c r="H44" i="3" s="1"/>
  <c r="AN112" i="3"/>
  <c r="AP112" i="3" s="1"/>
  <c r="AN78" i="3"/>
  <c r="AP78" i="3" s="1"/>
  <c r="AN10" i="3"/>
  <c r="AP10" i="3" s="1"/>
  <c r="W180" i="3"/>
  <c r="Y180" i="3" s="1"/>
  <c r="W146" i="3"/>
  <c r="Y146" i="3" s="1"/>
  <c r="W78" i="3"/>
  <c r="Y78" i="3" s="1"/>
  <c r="W10" i="3"/>
  <c r="Y10" i="3" s="1"/>
  <c r="F129" i="3"/>
  <c r="H129" i="3" s="1"/>
  <c r="F78" i="3"/>
  <c r="H78" i="3" s="1"/>
  <c r="W27" i="3"/>
  <c r="Y27" i="3" s="1"/>
  <c r="F27" i="3"/>
  <c r="H27" i="3" s="1"/>
  <c r="AN351" i="3"/>
  <c r="AP351" i="3" s="1"/>
  <c r="W351" i="3"/>
  <c r="Y351" i="3" s="1"/>
  <c r="F351" i="3"/>
  <c r="H351" i="3" s="1"/>
  <c r="AN334" i="3"/>
  <c r="AP334" i="3" s="1"/>
  <c r="W334" i="3"/>
  <c r="Y334" i="3" s="1"/>
  <c r="W79" i="3"/>
  <c r="Y79" i="3" s="1"/>
  <c r="W28" i="3"/>
  <c r="Y28" i="3" s="1"/>
  <c r="F181" i="3"/>
  <c r="H181" i="3" s="1"/>
  <c r="F130" i="3"/>
  <c r="H130" i="3" s="1"/>
  <c r="F334" i="3"/>
  <c r="H334" i="3" s="1"/>
  <c r="AN317" i="3"/>
  <c r="AP317" i="3" s="1"/>
  <c r="W317" i="3"/>
  <c r="Y317" i="3" s="1"/>
  <c r="F317" i="3"/>
  <c r="H317" i="3" s="1"/>
  <c r="AN300" i="3"/>
  <c r="AP300" i="3" s="1"/>
  <c r="W283" i="3"/>
  <c r="Y283" i="3" s="1"/>
  <c r="F283" i="3"/>
  <c r="H283" i="3" s="1"/>
  <c r="AN266" i="3"/>
  <c r="AP266" i="3" s="1"/>
  <c r="F249" i="3"/>
  <c r="H249" i="3" s="1"/>
  <c r="AN232" i="3"/>
  <c r="AP232" i="3" s="1"/>
  <c r="AN215" i="3"/>
  <c r="AP215" i="3" s="1"/>
  <c r="AN130" i="3"/>
  <c r="AP130" i="3" s="1"/>
  <c r="AN45" i="3"/>
  <c r="AP45" i="3" s="1"/>
  <c r="W198" i="3"/>
  <c r="Y198" i="3" s="1"/>
  <c r="W300" i="3"/>
  <c r="Y300" i="3" s="1"/>
  <c r="F300" i="3"/>
  <c r="H300" i="3" s="1"/>
  <c r="AN283" i="3"/>
  <c r="AP283" i="3" s="1"/>
  <c r="W266" i="3"/>
  <c r="Y266" i="3" s="1"/>
  <c r="F266" i="3"/>
  <c r="H266" i="3" s="1"/>
  <c r="AN249" i="3"/>
  <c r="AP249" i="3" s="1"/>
  <c r="W232" i="3"/>
  <c r="Y232" i="3" s="1"/>
  <c r="F232" i="3"/>
  <c r="H232" i="3" s="1"/>
  <c r="AN181" i="3"/>
  <c r="AP181" i="3" s="1"/>
  <c r="AN96" i="3"/>
  <c r="AP96" i="3" s="1"/>
  <c r="AN62" i="3"/>
  <c r="AP62" i="3" s="1"/>
  <c r="W215" i="3"/>
  <c r="Y215" i="3" s="1"/>
  <c r="W147" i="3"/>
  <c r="Y147" i="3" s="1"/>
  <c r="F198" i="3"/>
  <c r="H198" i="3" s="1"/>
  <c r="F96" i="3"/>
  <c r="H96" i="3" s="1"/>
  <c r="W249" i="3"/>
  <c r="Y249" i="3" s="1"/>
  <c r="AN147" i="3"/>
  <c r="AP147" i="3" s="1"/>
  <c r="AN28" i="3"/>
  <c r="AP28" i="3" s="1"/>
  <c r="W181" i="3"/>
  <c r="Y181" i="3" s="1"/>
  <c r="W130" i="3"/>
  <c r="Y130" i="3" s="1"/>
  <c r="W62" i="3"/>
  <c r="Y62" i="3" s="1"/>
  <c r="F215" i="3"/>
  <c r="H215" i="3" s="1"/>
  <c r="F147" i="3"/>
  <c r="H147" i="3" s="1"/>
  <c r="F79" i="3"/>
  <c r="H79" i="3" s="1"/>
  <c r="AN164" i="3"/>
  <c r="AP164" i="3" s="1"/>
  <c r="F62" i="3"/>
  <c r="H62" i="3" s="1"/>
  <c r="AN198" i="3"/>
  <c r="AP198" i="3" s="1"/>
  <c r="AN79" i="3"/>
  <c r="AP79" i="3" s="1"/>
  <c r="AN11" i="3"/>
  <c r="AP11" i="3" s="1"/>
  <c r="W113" i="3"/>
  <c r="Y113" i="3" s="1"/>
  <c r="W45" i="3"/>
  <c r="Y45" i="3" s="1"/>
  <c r="F164" i="3"/>
  <c r="H164" i="3" s="1"/>
  <c r="F113" i="3"/>
  <c r="H113" i="3" s="1"/>
  <c r="F45" i="3"/>
  <c r="H45" i="3" s="1"/>
  <c r="AN113" i="3"/>
  <c r="AP113" i="3" s="1"/>
  <c r="W164" i="3"/>
  <c r="Y164" i="3" s="1"/>
  <c r="W96" i="3"/>
  <c r="Y96" i="3" s="1"/>
  <c r="W11" i="3"/>
  <c r="Y11" i="3" s="1"/>
  <c r="F28" i="3"/>
  <c r="H28" i="3" s="1"/>
  <c r="F247" i="3"/>
  <c r="H247" i="3" s="1"/>
  <c r="AN230" i="3"/>
  <c r="AP230" i="3" s="1"/>
  <c r="W230" i="3"/>
  <c r="Y230" i="3" s="1"/>
  <c r="F230" i="3"/>
  <c r="H230" i="3" s="1"/>
  <c r="AN213" i="3"/>
  <c r="AP213" i="3" s="1"/>
  <c r="AN196" i="3"/>
  <c r="AP196" i="3" s="1"/>
  <c r="AN162" i="3"/>
  <c r="AP162" i="3" s="1"/>
  <c r="AN145" i="3"/>
  <c r="AP145" i="3" s="1"/>
  <c r="AN128" i="3"/>
  <c r="AP128" i="3" s="1"/>
  <c r="AN111" i="3"/>
  <c r="AP111" i="3" s="1"/>
  <c r="AN94" i="3"/>
  <c r="AP94" i="3" s="1"/>
  <c r="AN77" i="3"/>
  <c r="AP77" i="3" s="1"/>
  <c r="AN60" i="3"/>
  <c r="AP60" i="3" s="1"/>
  <c r="AN43" i="3"/>
  <c r="AP43" i="3" s="1"/>
  <c r="AN26" i="3"/>
  <c r="AP26" i="3" s="1"/>
  <c r="AN9" i="3"/>
  <c r="AP9" i="3" s="1"/>
  <c r="W213" i="3"/>
  <c r="Y213" i="3" s="1"/>
  <c r="W196" i="3"/>
  <c r="Y196" i="3" s="1"/>
  <c r="W179" i="3"/>
  <c r="Y179" i="3" s="1"/>
  <c r="W162" i="3"/>
  <c r="Y162" i="3" s="1"/>
  <c r="W145" i="3"/>
  <c r="Y145" i="3" s="1"/>
  <c r="W128" i="3"/>
  <c r="Y128" i="3" s="1"/>
  <c r="W111" i="3"/>
  <c r="Y111" i="3" s="1"/>
  <c r="W77" i="3"/>
  <c r="Y77" i="3" s="1"/>
  <c r="W60" i="3"/>
  <c r="Y60" i="3" s="1"/>
  <c r="W43" i="3"/>
  <c r="Y43" i="3" s="1"/>
  <c r="W9" i="3"/>
  <c r="Y9" i="3" s="1"/>
  <c r="F213" i="3"/>
  <c r="H213" i="3" s="1"/>
  <c r="F179" i="3"/>
  <c r="H179" i="3" s="1"/>
  <c r="F145" i="3"/>
  <c r="H145" i="3" s="1"/>
  <c r="F111" i="3"/>
  <c r="H111" i="3" s="1"/>
  <c r="F94" i="3"/>
  <c r="H94" i="3" s="1"/>
  <c r="F60" i="3"/>
  <c r="H60" i="3" s="1"/>
  <c r="F43" i="3"/>
  <c r="H43" i="3" s="1"/>
  <c r="AN349" i="3"/>
  <c r="AP349" i="3" s="1"/>
  <c r="F349" i="3"/>
  <c r="H349" i="3" s="1"/>
  <c r="W332" i="3"/>
  <c r="Y332" i="3" s="1"/>
  <c r="F332" i="3"/>
  <c r="H332" i="3" s="1"/>
  <c r="W315" i="3"/>
  <c r="Y315" i="3" s="1"/>
  <c r="F315" i="3"/>
  <c r="H315" i="3" s="1"/>
  <c r="W298" i="3"/>
  <c r="Y298" i="3" s="1"/>
  <c r="F298" i="3"/>
  <c r="H298" i="3" s="1"/>
  <c r="W281" i="3"/>
  <c r="Y281" i="3" s="1"/>
  <c r="F281" i="3"/>
  <c r="H281" i="3" s="1"/>
  <c r="AN264" i="3"/>
  <c r="AP264" i="3" s="1"/>
  <c r="W264" i="3"/>
  <c r="Y264" i="3" s="1"/>
  <c r="F264" i="3"/>
  <c r="H264" i="3" s="1"/>
  <c r="AN247" i="3"/>
  <c r="AP247" i="3" s="1"/>
  <c r="AN179" i="3"/>
  <c r="AP179" i="3" s="1"/>
  <c r="W94" i="3"/>
  <c r="Y94" i="3" s="1"/>
  <c r="W26" i="3"/>
  <c r="Y26" i="3" s="1"/>
  <c r="F196" i="3"/>
  <c r="H196" i="3" s="1"/>
  <c r="F162" i="3"/>
  <c r="H162" i="3" s="1"/>
  <c r="F128" i="3"/>
  <c r="H128" i="3" s="1"/>
  <c r="F77" i="3"/>
  <c r="H77" i="3" s="1"/>
  <c r="F26" i="3"/>
  <c r="H26" i="3" s="1"/>
  <c r="W349" i="3"/>
  <c r="Y349" i="3" s="1"/>
  <c r="AN332" i="3"/>
  <c r="AP332" i="3" s="1"/>
  <c r="AN315" i="3"/>
  <c r="AP315" i="3" s="1"/>
  <c r="AN298" i="3"/>
  <c r="AP298" i="3" s="1"/>
  <c r="AN281" i="3"/>
  <c r="AP281" i="3" s="1"/>
  <c r="W247" i="3"/>
  <c r="Y247" i="3" s="1"/>
  <c r="AN348" i="3"/>
  <c r="AP348" i="3" s="1"/>
  <c r="W348" i="3"/>
  <c r="Y348" i="3" s="1"/>
  <c r="F348" i="3"/>
  <c r="H348" i="3" s="1"/>
  <c r="W314" i="3"/>
  <c r="Y314" i="3" s="1"/>
  <c r="AN297" i="3"/>
  <c r="AP297" i="3" s="1"/>
  <c r="F297" i="3"/>
  <c r="H297" i="3" s="1"/>
  <c r="W280" i="3"/>
  <c r="Y280" i="3" s="1"/>
  <c r="F280" i="3"/>
  <c r="H280" i="3" s="1"/>
  <c r="AN263" i="3"/>
  <c r="AP263" i="3" s="1"/>
  <c r="F263" i="3"/>
  <c r="H263" i="3" s="1"/>
  <c r="AN331" i="3"/>
  <c r="AP331" i="3" s="1"/>
  <c r="W331" i="3"/>
  <c r="Y331" i="3" s="1"/>
  <c r="F331" i="3"/>
  <c r="H331" i="3" s="1"/>
  <c r="AN314" i="3"/>
  <c r="AP314" i="3" s="1"/>
  <c r="F314" i="3"/>
  <c r="H314" i="3" s="1"/>
  <c r="W297" i="3"/>
  <c r="Y297" i="3" s="1"/>
  <c r="AN280" i="3"/>
  <c r="AP280" i="3" s="1"/>
  <c r="W263" i="3"/>
  <c r="Y263" i="3" s="1"/>
  <c r="AN246" i="3"/>
  <c r="AP246" i="3" s="1"/>
  <c r="W246" i="3"/>
  <c r="Y246" i="3" s="1"/>
  <c r="F246" i="3"/>
  <c r="H246" i="3" s="1"/>
  <c r="AN229" i="3"/>
  <c r="AP229" i="3" s="1"/>
  <c r="W229" i="3"/>
  <c r="Y229" i="3" s="1"/>
  <c r="F229" i="3"/>
  <c r="H229" i="3" s="1"/>
  <c r="AN127" i="3"/>
  <c r="AP127" i="3" s="1"/>
  <c r="AN59" i="3"/>
  <c r="AP59" i="3" s="1"/>
  <c r="AN8" i="3"/>
  <c r="AP8" i="3" s="1"/>
  <c r="W178" i="3"/>
  <c r="Y178" i="3" s="1"/>
  <c r="W127" i="3"/>
  <c r="Y127" i="3" s="1"/>
  <c r="W93" i="3"/>
  <c r="Y93" i="3" s="1"/>
  <c r="W42" i="3"/>
  <c r="Y42" i="3" s="1"/>
  <c r="F195" i="3"/>
  <c r="H195" i="3" s="1"/>
  <c r="F161" i="3"/>
  <c r="H161" i="3" s="1"/>
  <c r="F110" i="3"/>
  <c r="H110" i="3" s="1"/>
  <c r="F25" i="3"/>
  <c r="H25" i="3" s="1"/>
  <c r="AN212" i="3"/>
  <c r="AP212" i="3" s="1"/>
  <c r="AN195" i="3"/>
  <c r="AP195" i="3" s="1"/>
  <c r="AN178" i="3"/>
  <c r="AP178" i="3" s="1"/>
  <c r="AN161" i="3"/>
  <c r="AP161" i="3" s="1"/>
  <c r="AN144" i="3"/>
  <c r="AP144" i="3" s="1"/>
  <c r="AN76" i="3"/>
  <c r="AP76" i="3" s="1"/>
  <c r="AN42" i="3"/>
  <c r="AP42" i="3" s="1"/>
  <c r="AN25" i="3"/>
  <c r="AP25" i="3" s="1"/>
  <c r="W195" i="3"/>
  <c r="Y195" i="3" s="1"/>
  <c r="W144" i="3"/>
  <c r="Y144" i="3" s="1"/>
  <c r="W110" i="3"/>
  <c r="Y110" i="3" s="1"/>
  <c r="W59" i="3"/>
  <c r="Y59" i="3" s="1"/>
  <c r="W25" i="3"/>
  <c r="Y25" i="3" s="1"/>
  <c r="F212" i="3"/>
  <c r="H212" i="3" s="1"/>
  <c r="F144" i="3"/>
  <c r="H144" i="3" s="1"/>
  <c r="F93" i="3"/>
  <c r="H93" i="3" s="1"/>
  <c r="F42" i="3"/>
  <c r="H42" i="3" s="1"/>
  <c r="AN110" i="3"/>
  <c r="AP110" i="3" s="1"/>
  <c r="AN93" i="3"/>
  <c r="AP93" i="3" s="1"/>
  <c r="W161" i="3"/>
  <c r="Y161" i="3" s="1"/>
  <c r="W76" i="3"/>
  <c r="Y76" i="3" s="1"/>
  <c r="W8" i="3"/>
  <c r="Y8" i="3" s="1"/>
  <c r="F127" i="3"/>
  <c r="H127" i="3" s="1"/>
  <c r="W212" i="3"/>
  <c r="Y212" i="3" s="1"/>
  <c r="F178" i="3"/>
  <c r="H178" i="3" s="1"/>
  <c r="F76" i="3"/>
  <c r="H76" i="3" s="1"/>
  <c r="F59" i="3"/>
  <c r="H59" i="3" s="1"/>
  <c r="AJ351" i="3"/>
  <c r="AL351" i="3" s="1"/>
  <c r="S351" i="3"/>
  <c r="U351" i="3" s="1"/>
  <c r="B351" i="3"/>
  <c r="D351" i="3" s="1"/>
  <c r="AJ334" i="3"/>
  <c r="AL334" i="3" s="1"/>
  <c r="S334" i="3"/>
  <c r="U334" i="3" s="1"/>
  <c r="B334" i="3"/>
  <c r="D334" i="3" s="1"/>
  <c r="S283" i="3"/>
  <c r="U283" i="3" s="1"/>
  <c r="B283" i="3"/>
  <c r="D283" i="3" s="1"/>
  <c r="S266" i="3"/>
  <c r="U266" i="3" s="1"/>
  <c r="S249" i="3"/>
  <c r="U249" i="3" s="1"/>
  <c r="AJ317" i="3"/>
  <c r="AL317" i="3" s="1"/>
  <c r="S317" i="3"/>
  <c r="U317" i="3" s="1"/>
  <c r="B317" i="3"/>
  <c r="D317" i="3" s="1"/>
  <c r="AJ300" i="3"/>
  <c r="AL300" i="3" s="1"/>
  <c r="B300" i="3"/>
  <c r="D300" i="3" s="1"/>
  <c r="AJ249" i="3"/>
  <c r="AL249" i="3" s="1"/>
  <c r="S300" i="3"/>
  <c r="U300" i="3" s="1"/>
  <c r="AJ283" i="3"/>
  <c r="AL283" i="3" s="1"/>
  <c r="B266" i="3"/>
  <c r="D266" i="3" s="1"/>
  <c r="B249" i="3"/>
  <c r="D249" i="3" s="1"/>
  <c r="AJ266" i="3"/>
  <c r="AL266" i="3" s="1"/>
  <c r="AJ232" i="3"/>
  <c r="AL232" i="3" s="1"/>
  <c r="S232" i="3"/>
  <c r="U232" i="3" s="1"/>
  <c r="B232" i="3"/>
  <c r="D232" i="3" s="1"/>
  <c r="AJ215" i="3"/>
  <c r="AL215" i="3" s="1"/>
  <c r="S198" i="3"/>
  <c r="U198" i="3" s="1"/>
  <c r="S164" i="3"/>
  <c r="U164" i="3" s="1"/>
  <c r="B198" i="3"/>
  <c r="D198" i="3" s="1"/>
  <c r="B130" i="3"/>
  <c r="D130" i="3" s="1"/>
  <c r="B28" i="3"/>
  <c r="D28" i="3" s="1"/>
  <c r="AJ198" i="3"/>
  <c r="AL198" i="3" s="1"/>
  <c r="AJ181" i="3"/>
  <c r="AL181" i="3" s="1"/>
  <c r="AJ164" i="3"/>
  <c r="AL164" i="3" s="1"/>
  <c r="AJ147" i="3"/>
  <c r="AL147" i="3" s="1"/>
  <c r="AJ130" i="3"/>
  <c r="AL130" i="3" s="1"/>
  <c r="AJ62" i="3"/>
  <c r="AL62" i="3" s="1"/>
  <c r="AJ45" i="3"/>
  <c r="AL45" i="3" s="1"/>
  <c r="S130" i="3"/>
  <c r="U130" i="3" s="1"/>
  <c r="S62" i="3"/>
  <c r="U62" i="3" s="1"/>
  <c r="S11" i="3"/>
  <c r="U11" i="3" s="1"/>
  <c r="B164" i="3"/>
  <c r="D164" i="3" s="1"/>
  <c r="B113" i="3"/>
  <c r="D113" i="3" s="1"/>
  <c r="B62" i="3"/>
  <c r="D62" i="3" s="1"/>
  <c r="AJ113" i="3"/>
  <c r="AL113" i="3" s="1"/>
  <c r="AJ96" i="3"/>
  <c r="AL96" i="3" s="1"/>
  <c r="AJ79" i="3"/>
  <c r="AL79" i="3" s="1"/>
  <c r="AJ28" i="3"/>
  <c r="AL28" i="3" s="1"/>
  <c r="S215" i="3"/>
  <c r="U215" i="3" s="1"/>
  <c r="S181" i="3"/>
  <c r="U181" i="3" s="1"/>
  <c r="S113" i="3"/>
  <c r="U113" i="3" s="1"/>
  <c r="S45" i="3"/>
  <c r="U45" i="3" s="1"/>
  <c r="B215" i="3"/>
  <c r="D215" i="3" s="1"/>
  <c r="B147" i="3"/>
  <c r="D147" i="3" s="1"/>
  <c r="B79" i="3"/>
  <c r="D79" i="3" s="1"/>
  <c r="AJ11" i="3"/>
  <c r="AL11" i="3" s="1"/>
  <c r="S147" i="3"/>
  <c r="U147" i="3" s="1"/>
  <c r="S79" i="3"/>
  <c r="U79" i="3" s="1"/>
  <c r="S28" i="3"/>
  <c r="U28" i="3" s="1"/>
  <c r="B181" i="3"/>
  <c r="D181" i="3" s="1"/>
  <c r="B96" i="3"/>
  <c r="D96" i="3" s="1"/>
  <c r="S96" i="3"/>
  <c r="U96" i="3" s="1"/>
  <c r="B45" i="3"/>
  <c r="D45" i="3" s="1"/>
  <c r="AJ350" i="3"/>
  <c r="AL350" i="3" s="1"/>
  <c r="S350" i="3"/>
  <c r="U350" i="3" s="1"/>
  <c r="B350" i="3"/>
  <c r="D350" i="3" s="1"/>
  <c r="AJ333" i="3"/>
  <c r="AL333" i="3" s="1"/>
  <c r="S316" i="3"/>
  <c r="U316" i="3" s="1"/>
  <c r="AJ299" i="3"/>
  <c r="AL299" i="3" s="1"/>
  <c r="AJ282" i="3"/>
  <c r="AL282" i="3" s="1"/>
  <c r="B282" i="3"/>
  <c r="D282" i="3" s="1"/>
  <c r="B265" i="3"/>
  <c r="D265" i="3" s="1"/>
  <c r="S248" i="3"/>
  <c r="U248" i="3" s="1"/>
  <c r="S333" i="3"/>
  <c r="U333" i="3" s="1"/>
  <c r="B333" i="3"/>
  <c r="D333" i="3" s="1"/>
  <c r="AJ316" i="3"/>
  <c r="AL316" i="3" s="1"/>
  <c r="B316" i="3"/>
  <c r="D316" i="3" s="1"/>
  <c r="B299" i="3"/>
  <c r="D299" i="3" s="1"/>
  <c r="S282" i="3"/>
  <c r="U282" i="3" s="1"/>
  <c r="S265" i="3"/>
  <c r="U265" i="3" s="1"/>
  <c r="AJ248" i="3"/>
  <c r="AL248" i="3" s="1"/>
  <c r="B248" i="3"/>
  <c r="D248" i="3" s="1"/>
  <c r="S299" i="3"/>
  <c r="U299" i="3" s="1"/>
  <c r="AJ265" i="3"/>
  <c r="AL265" i="3" s="1"/>
  <c r="AJ231" i="3"/>
  <c r="AL231" i="3" s="1"/>
  <c r="S231" i="3"/>
  <c r="U231" i="3" s="1"/>
  <c r="B231" i="3"/>
  <c r="D231" i="3" s="1"/>
  <c r="AJ214" i="3"/>
  <c r="AL214" i="3" s="1"/>
  <c r="AJ163" i="3"/>
  <c r="AL163" i="3" s="1"/>
  <c r="S112" i="3"/>
  <c r="U112" i="3" s="1"/>
  <c r="S44" i="3"/>
  <c r="U44" i="3" s="1"/>
  <c r="B214" i="3"/>
  <c r="D214" i="3" s="1"/>
  <c r="B163" i="3"/>
  <c r="D163" i="3" s="1"/>
  <c r="B112" i="3"/>
  <c r="D112" i="3" s="1"/>
  <c r="B61" i="3"/>
  <c r="D61" i="3" s="1"/>
  <c r="AJ197" i="3"/>
  <c r="AL197" i="3" s="1"/>
  <c r="AJ180" i="3"/>
  <c r="AL180" i="3" s="1"/>
  <c r="AJ146" i="3"/>
  <c r="AL146" i="3" s="1"/>
  <c r="AJ129" i="3"/>
  <c r="AL129" i="3" s="1"/>
  <c r="S129" i="3"/>
  <c r="U129" i="3" s="1"/>
  <c r="S78" i="3"/>
  <c r="U78" i="3" s="1"/>
  <c r="S10" i="3"/>
  <c r="U10" i="3" s="1"/>
  <c r="B146" i="3"/>
  <c r="D146" i="3" s="1"/>
  <c r="B78" i="3"/>
  <c r="D78" i="3" s="1"/>
  <c r="B27" i="3"/>
  <c r="D27" i="3" s="1"/>
  <c r="AJ112" i="3"/>
  <c r="AL112" i="3" s="1"/>
  <c r="AJ95" i="3"/>
  <c r="AL95" i="3" s="1"/>
  <c r="AJ78" i="3"/>
  <c r="AL78" i="3" s="1"/>
  <c r="AJ61" i="3"/>
  <c r="AL61" i="3" s="1"/>
  <c r="AJ44" i="3"/>
  <c r="AL44" i="3" s="1"/>
  <c r="AJ27" i="3"/>
  <c r="AL27" i="3" s="1"/>
  <c r="S214" i="3"/>
  <c r="U214" i="3" s="1"/>
  <c r="S180" i="3"/>
  <c r="U180" i="3" s="1"/>
  <c r="S95" i="3"/>
  <c r="U95" i="3" s="1"/>
  <c r="S27" i="3"/>
  <c r="U27" i="3" s="1"/>
  <c r="B180" i="3"/>
  <c r="D180" i="3" s="1"/>
  <c r="B95" i="3"/>
  <c r="D95" i="3" s="1"/>
  <c r="B44" i="3"/>
  <c r="D44" i="3" s="1"/>
  <c r="AJ10" i="3"/>
  <c r="AL10" i="3" s="1"/>
  <c r="S197" i="3"/>
  <c r="U197" i="3" s="1"/>
  <c r="S163" i="3"/>
  <c r="U163" i="3" s="1"/>
  <c r="S61" i="3"/>
  <c r="U61" i="3" s="1"/>
  <c r="B197" i="3"/>
  <c r="D197" i="3" s="1"/>
  <c r="B129" i="3"/>
  <c r="D129" i="3" s="1"/>
  <c r="S146" i="3"/>
  <c r="U146" i="3" s="1"/>
  <c r="AJ349" i="3"/>
  <c r="AL349" i="3" s="1"/>
  <c r="S349" i="3"/>
  <c r="U349" i="3" s="1"/>
  <c r="B349" i="3"/>
  <c r="D349" i="3" s="1"/>
  <c r="B315" i="3"/>
  <c r="D315" i="3" s="1"/>
  <c r="S298" i="3"/>
  <c r="U298" i="3" s="1"/>
  <c r="AJ281" i="3"/>
  <c r="AL281" i="3" s="1"/>
  <c r="B281" i="3"/>
  <c r="D281" i="3" s="1"/>
  <c r="S264" i="3"/>
  <c r="U264" i="3" s="1"/>
  <c r="AJ247" i="3"/>
  <c r="AL247" i="3" s="1"/>
  <c r="AJ332" i="3"/>
  <c r="AL332" i="3" s="1"/>
  <c r="S332" i="3"/>
  <c r="U332" i="3" s="1"/>
  <c r="B332" i="3"/>
  <c r="D332" i="3" s="1"/>
  <c r="AJ315" i="3"/>
  <c r="AL315" i="3" s="1"/>
  <c r="S315" i="3"/>
  <c r="U315" i="3" s="1"/>
  <c r="AJ298" i="3"/>
  <c r="AL298" i="3" s="1"/>
  <c r="B298" i="3"/>
  <c r="D298" i="3" s="1"/>
  <c r="S281" i="3"/>
  <c r="U281" i="3" s="1"/>
  <c r="AJ264" i="3"/>
  <c r="AL264" i="3" s="1"/>
  <c r="B264" i="3"/>
  <c r="D264" i="3" s="1"/>
  <c r="S247" i="3"/>
  <c r="U247" i="3" s="1"/>
  <c r="B247" i="3"/>
  <c r="D247" i="3" s="1"/>
  <c r="AJ230" i="3"/>
  <c r="AL230" i="3" s="1"/>
  <c r="S230" i="3"/>
  <c r="U230" i="3" s="1"/>
  <c r="B230" i="3"/>
  <c r="D230" i="3" s="1"/>
  <c r="AJ213" i="3"/>
  <c r="AL213" i="3" s="1"/>
  <c r="AJ60" i="3"/>
  <c r="AL60" i="3" s="1"/>
  <c r="S162" i="3"/>
  <c r="U162" i="3" s="1"/>
  <c r="S77" i="3"/>
  <c r="U77" i="3" s="1"/>
  <c r="S26" i="3"/>
  <c r="U26" i="3" s="1"/>
  <c r="B196" i="3"/>
  <c r="D196" i="3" s="1"/>
  <c r="B77" i="3"/>
  <c r="D77" i="3" s="1"/>
  <c r="AJ196" i="3"/>
  <c r="AL196" i="3" s="1"/>
  <c r="AJ179" i="3"/>
  <c r="AL179" i="3" s="1"/>
  <c r="AJ162" i="3"/>
  <c r="AL162" i="3" s="1"/>
  <c r="AJ145" i="3"/>
  <c r="AL145" i="3" s="1"/>
  <c r="AJ128" i="3"/>
  <c r="AL128" i="3" s="1"/>
  <c r="AJ94" i="3"/>
  <c r="AL94" i="3" s="1"/>
  <c r="AJ77" i="3"/>
  <c r="AL77" i="3" s="1"/>
  <c r="S196" i="3"/>
  <c r="U196" i="3" s="1"/>
  <c r="S145" i="3"/>
  <c r="U145" i="3" s="1"/>
  <c r="S94" i="3"/>
  <c r="U94" i="3" s="1"/>
  <c r="S60" i="3"/>
  <c r="U60" i="3" s="1"/>
  <c r="B179" i="3"/>
  <c r="D179" i="3" s="1"/>
  <c r="B145" i="3"/>
  <c r="D145" i="3" s="1"/>
  <c r="B94" i="3"/>
  <c r="D94" i="3" s="1"/>
  <c r="B43" i="3"/>
  <c r="D43" i="3" s="1"/>
  <c r="AJ111" i="3"/>
  <c r="AL111" i="3" s="1"/>
  <c r="AJ43" i="3"/>
  <c r="AL43" i="3" s="1"/>
  <c r="S111" i="3"/>
  <c r="U111" i="3" s="1"/>
  <c r="S9" i="3"/>
  <c r="U9" i="3" s="1"/>
  <c r="B128" i="3"/>
  <c r="D128" i="3" s="1"/>
  <c r="B60" i="3"/>
  <c r="D60" i="3" s="1"/>
  <c r="AJ26" i="3"/>
  <c r="AL26" i="3" s="1"/>
  <c r="AJ9" i="3"/>
  <c r="AL9" i="3" s="1"/>
  <c r="S213" i="3"/>
  <c r="U213" i="3" s="1"/>
  <c r="S179" i="3"/>
  <c r="U179" i="3" s="1"/>
  <c r="S128" i="3"/>
  <c r="U128" i="3" s="1"/>
  <c r="S43" i="3"/>
  <c r="U43" i="3" s="1"/>
  <c r="B213" i="3"/>
  <c r="D213" i="3" s="1"/>
  <c r="B162" i="3"/>
  <c r="D162" i="3" s="1"/>
  <c r="B111" i="3"/>
  <c r="D111" i="3" s="1"/>
  <c r="B26" i="3"/>
  <c r="D26" i="3" s="1"/>
  <c r="AJ280" i="3"/>
  <c r="AL280" i="3" s="1"/>
  <c r="S280" i="3"/>
  <c r="U280" i="3" s="1"/>
  <c r="B280" i="3"/>
  <c r="D280" i="3" s="1"/>
  <c r="AJ263" i="3"/>
  <c r="AL263" i="3" s="1"/>
  <c r="S263" i="3"/>
  <c r="U263" i="3" s="1"/>
  <c r="B263" i="3"/>
  <c r="D263" i="3" s="1"/>
  <c r="S331" i="3"/>
  <c r="U331" i="3" s="1"/>
  <c r="AJ246" i="3"/>
  <c r="AL246" i="3" s="1"/>
  <c r="S246" i="3"/>
  <c r="U246" i="3" s="1"/>
  <c r="B246" i="3"/>
  <c r="D246" i="3" s="1"/>
  <c r="AJ229" i="3"/>
  <c r="AL229" i="3" s="1"/>
  <c r="S229" i="3"/>
  <c r="U229" i="3" s="1"/>
  <c r="B229" i="3"/>
  <c r="D229" i="3" s="1"/>
  <c r="AJ348" i="3"/>
  <c r="AL348" i="3" s="1"/>
  <c r="B348" i="3"/>
  <c r="D348" i="3" s="1"/>
  <c r="AJ314" i="3"/>
  <c r="AL314" i="3" s="1"/>
  <c r="B314" i="3"/>
  <c r="D314" i="3" s="1"/>
  <c r="AJ212" i="3"/>
  <c r="AL212" i="3" s="1"/>
  <c r="AJ195" i="3"/>
  <c r="AL195" i="3" s="1"/>
  <c r="AJ178" i="3"/>
  <c r="AL178" i="3" s="1"/>
  <c r="AJ161" i="3"/>
  <c r="AL161" i="3" s="1"/>
  <c r="AJ144" i="3"/>
  <c r="AL144" i="3" s="1"/>
  <c r="AJ331" i="3"/>
  <c r="AL331" i="3" s="1"/>
  <c r="AJ297" i="3"/>
  <c r="AL297" i="3" s="1"/>
  <c r="AJ127" i="3"/>
  <c r="AL127" i="3" s="1"/>
  <c r="AJ110" i="3"/>
  <c r="AL110" i="3" s="1"/>
  <c r="AJ93" i="3"/>
  <c r="AL93" i="3" s="1"/>
  <c r="AJ76" i="3"/>
  <c r="AL76" i="3" s="1"/>
  <c r="AJ59" i="3"/>
  <c r="AL59" i="3" s="1"/>
  <c r="S127" i="3"/>
  <c r="U127" i="3" s="1"/>
  <c r="S93" i="3"/>
  <c r="U93" i="3" s="1"/>
  <c r="S59" i="3"/>
  <c r="U59" i="3" s="1"/>
  <c r="S8" i="3"/>
  <c r="U8" i="3" s="1"/>
  <c r="B195" i="3"/>
  <c r="D195" i="3" s="1"/>
  <c r="B144" i="3"/>
  <c r="D144" i="3" s="1"/>
  <c r="B110" i="3"/>
  <c r="D110" i="3" s="1"/>
  <c r="B59" i="3"/>
  <c r="D59" i="3" s="1"/>
  <c r="B25" i="3"/>
  <c r="D25" i="3" s="1"/>
  <c r="S314" i="3"/>
  <c r="U314" i="3" s="1"/>
  <c r="S297" i="3"/>
  <c r="U297" i="3" s="1"/>
  <c r="AJ42" i="3"/>
  <c r="AL42" i="3" s="1"/>
  <c r="AJ25" i="3"/>
  <c r="AL25" i="3" s="1"/>
  <c r="AJ8" i="3"/>
  <c r="AL8" i="3" s="1"/>
  <c r="S212" i="3"/>
  <c r="U212" i="3" s="1"/>
  <c r="S195" i="3"/>
  <c r="U195" i="3" s="1"/>
  <c r="S178" i="3"/>
  <c r="U178" i="3" s="1"/>
  <c r="S161" i="3"/>
  <c r="U161" i="3" s="1"/>
  <c r="S144" i="3"/>
  <c r="U144" i="3" s="1"/>
  <c r="S110" i="3"/>
  <c r="U110" i="3" s="1"/>
  <c r="S76" i="3"/>
  <c r="U76" i="3" s="1"/>
  <c r="S42" i="3"/>
  <c r="U42" i="3" s="1"/>
  <c r="S25" i="3"/>
  <c r="U25" i="3" s="1"/>
  <c r="B212" i="3"/>
  <c r="D212" i="3" s="1"/>
  <c r="B178" i="3"/>
  <c r="D178" i="3" s="1"/>
  <c r="B161" i="3"/>
  <c r="D161" i="3" s="1"/>
  <c r="B127" i="3"/>
  <c r="D127" i="3" s="1"/>
  <c r="B93" i="3"/>
  <c r="D93" i="3" s="1"/>
  <c r="B76" i="3"/>
  <c r="D76" i="3" s="1"/>
  <c r="B42" i="3"/>
  <c r="D42" i="3" s="1"/>
  <c r="S348" i="3"/>
  <c r="U348" i="3" s="1"/>
  <c r="B331" i="3"/>
  <c r="D331" i="3" s="1"/>
  <c r="B297" i="3"/>
  <c r="D297" i="3" s="1"/>
  <c r="AV345" i="3"/>
  <c r="AX345" i="3" s="1"/>
  <c r="AE345" i="3"/>
  <c r="AG345" i="3" s="1"/>
  <c r="N345" i="3"/>
  <c r="P345" i="3" s="1"/>
  <c r="AV311" i="3"/>
  <c r="AX311" i="3" s="1"/>
  <c r="N311" i="3"/>
  <c r="P311" i="3" s="1"/>
  <c r="N294" i="3"/>
  <c r="P294" i="3" s="1"/>
  <c r="AV277" i="3"/>
  <c r="AX277" i="3" s="1"/>
  <c r="AE277" i="3"/>
  <c r="AG277" i="3" s="1"/>
  <c r="N22" i="3"/>
  <c r="P22" i="3" s="1"/>
  <c r="AV328" i="3"/>
  <c r="AX328" i="3" s="1"/>
  <c r="AE328" i="3"/>
  <c r="AG328" i="3" s="1"/>
  <c r="N328" i="3"/>
  <c r="P328" i="3" s="1"/>
  <c r="AE311" i="3"/>
  <c r="AG311" i="3" s="1"/>
  <c r="AV294" i="3"/>
  <c r="AX294" i="3" s="1"/>
  <c r="AE294" i="3"/>
  <c r="AG294" i="3" s="1"/>
  <c r="N277" i="3"/>
  <c r="P277" i="3" s="1"/>
  <c r="AV260" i="3"/>
  <c r="AX260" i="3" s="1"/>
  <c r="AE260" i="3"/>
  <c r="AG260" i="3" s="1"/>
  <c r="N260" i="3"/>
  <c r="P260" i="3" s="1"/>
  <c r="AE226" i="3"/>
  <c r="AG226" i="3" s="1"/>
  <c r="AV209" i="3"/>
  <c r="AX209" i="3" s="1"/>
  <c r="AV158" i="3"/>
  <c r="AX158" i="3" s="1"/>
  <c r="AV90" i="3"/>
  <c r="AX90" i="3" s="1"/>
  <c r="AV56" i="3"/>
  <c r="AX56" i="3" s="1"/>
  <c r="AV39" i="3"/>
  <c r="AX39" i="3" s="1"/>
  <c r="AV5" i="3"/>
  <c r="AX5" i="3" s="1"/>
  <c r="AE175" i="3"/>
  <c r="AG175" i="3" s="1"/>
  <c r="AE141" i="3"/>
  <c r="AG141" i="3" s="1"/>
  <c r="AE90" i="3"/>
  <c r="AG90" i="3" s="1"/>
  <c r="AE73" i="3"/>
  <c r="AG73" i="3" s="1"/>
  <c r="AE5" i="3"/>
  <c r="AG5" i="3" s="1"/>
  <c r="N175" i="3"/>
  <c r="P175" i="3" s="1"/>
  <c r="N141" i="3"/>
  <c r="P141" i="3" s="1"/>
  <c r="N90" i="3"/>
  <c r="P90" i="3" s="1"/>
  <c r="N39" i="3"/>
  <c r="P39" i="3" s="1"/>
  <c r="AV243" i="3"/>
  <c r="AX243" i="3" s="1"/>
  <c r="AE243" i="3"/>
  <c r="AG243" i="3" s="1"/>
  <c r="N243" i="3"/>
  <c r="P243" i="3" s="1"/>
  <c r="AV226" i="3"/>
  <c r="AX226" i="3" s="1"/>
  <c r="N226" i="3"/>
  <c r="P226" i="3" s="1"/>
  <c r="AV175" i="3"/>
  <c r="AX175" i="3" s="1"/>
  <c r="AV141" i="3"/>
  <c r="AX141" i="3" s="1"/>
  <c r="AV124" i="3"/>
  <c r="AX124" i="3" s="1"/>
  <c r="AV73" i="3"/>
  <c r="AX73" i="3" s="1"/>
  <c r="AV22" i="3"/>
  <c r="AX22" i="3" s="1"/>
  <c r="AE192" i="3"/>
  <c r="AG192" i="3" s="1"/>
  <c r="AE158" i="3"/>
  <c r="AG158" i="3" s="1"/>
  <c r="AE107" i="3"/>
  <c r="AG107" i="3" s="1"/>
  <c r="AE39" i="3"/>
  <c r="AG39" i="3" s="1"/>
  <c r="N192" i="3"/>
  <c r="P192" i="3" s="1"/>
  <c r="N158" i="3"/>
  <c r="P158" i="3" s="1"/>
  <c r="N124" i="3"/>
  <c r="P124" i="3" s="1"/>
  <c r="N56" i="3"/>
  <c r="P56" i="3" s="1"/>
  <c r="AV192" i="3"/>
  <c r="AX192" i="3" s="1"/>
  <c r="AE22" i="3"/>
  <c r="AG22" i="3" s="1"/>
  <c r="N73" i="3"/>
  <c r="P73" i="3" s="1"/>
  <c r="AV107" i="3"/>
  <c r="AX107" i="3" s="1"/>
  <c r="AE209" i="3"/>
  <c r="AG209" i="3" s="1"/>
  <c r="AE124" i="3"/>
  <c r="AG124" i="3" s="1"/>
  <c r="N209" i="3"/>
  <c r="P209" i="3" s="1"/>
  <c r="N107" i="3"/>
  <c r="P107" i="3" s="1"/>
  <c r="AE56" i="3"/>
  <c r="AG56" i="3" s="1"/>
  <c r="AV346" i="3"/>
  <c r="AX346" i="3" s="1"/>
  <c r="AE346" i="3"/>
  <c r="AG346" i="3" s="1"/>
  <c r="N346" i="3"/>
  <c r="P346" i="3" s="1"/>
  <c r="AV329" i="3"/>
  <c r="AX329" i="3" s="1"/>
  <c r="AE329" i="3"/>
  <c r="AG329" i="3" s="1"/>
  <c r="N329" i="3"/>
  <c r="P329" i="3" s="1"/>
  <c r="AV312" i="3"/>
  <c r="AX312" i="3" s="1"/>
  <c r="AE312" i="3"/>
  <c r="AG312" i="3" s="1"/>
  <c r="N312" i="3"/>
  <c r="P312" i="3" s="1"/>
  <c r="AV295" i="3"/>
  <c r="AX295" i="3" s="1"/>
  <c r="AE295" i="3"/>
  <c r="AG295" i="3" s="1"/>
  <c r="N295" i="3"/>
  <c r="P295" i="3" s="1"/>
  <c r="AV278" i="3"/>
  <c r="AX278" i="3" s="1"/>
  <c r="N278" i="3"/>
  <c r="P278" i="3" s="1"/>
  <c r="AV261" i="3"/>
  <c r="AX261" i="3" s="1"/>
  <c r="AE261" i="3"/>
  <c r="AG261" i="3" s="1"/>
  <c r="N261" i="3"/>
  <c r="P261" i="3" s="1"/>
  <c r="AE227" i="3"/>
  <c r="AG227" i="3" s="1"/>
  <c r="AE159" i="3"/>
  <c r="AG159" i="3" s="1"/>
  <c r="AE74" i="3"/>
  <c r="AG74" i="3" s="1"/>
  <c r="N40" i="3"/>
  <c r="P40" i="3" s="1"/>
  <c r="AE278" i="3"/>
  <c r="AG278" i="3" s="1"/>
  <c r="N227" i="3"/>
  <c r="P227" i="3" s="1"/>
  <c r="AE108" i="3"/>
  <c r="AG108" i="3" s="1"/>
  <c r="AE6" i="3"/>
  <c r="AG6" i="3" s="1"/>
  <c r="N176" i="3"/>
  <c r="P176" i="3" s="1"/>
  <c r="N74" i="3"/>
  <c r="P74" i="3" s="1"/>
  <c r="AV244" i="3"/>
  <c r="AX244" i="3" s="1"/>
  <c r="AE244" i="3"/>
  <c r="AG244" i="3" s="1"/>
  <c r="N244" i="3"/>
  <c r="P244" i="3" s="1"/>
  <c r="AV227" i="3"/>
  <c r="AX227" i="3" s="1"/>
  <c r="AV210" i="3"/>
  <c r="AX210" i="3" s="1"/>
  <c r="AV23" i="3"/>
  <c r="AX23" i="3" s="1"/>
  <c r="AV6" i="3"/>
  <c r="AX6" i="3" s="1"/>
  <c r="AE193" i="3"/>
  <c r="AG193" i="3" s="1"/>
  <c r="AE176" i="3"/>
  <c r="AG176" i="3" s="1"/>
  <c r="AE142" i="3"/>
  <c r="AG142" i="3" s="1"/>
  <c r="AE23" i="3"/>
  <c r="AG23" i="3" s="1"/>
  <c r="N142" i="3"/>
  <c r="P142" i="3" s="1"/>
  <c r="N91" i="3"/>
  <c r="P91" i="3" s="1"/>
  <c r="N23" i="3"/>
  <c r="P23" i="3" s="1"/>
  <c r="AV193" i="3"/>
  <c r="AX193" i="3" s="1"/>
  <c r="AV176" i="3"/>
  <c r="AX176" i="3" s="1"/>
  <c r="AV159" i="3"/>
  <c r="AX159" i="3" s="1"/>
  <c r="AV142" i="3"/>
  <c r="AX142" i="3" s="1"/>
  <c r="AV125" i="3"/>
  <c r="AX125" i="3" s="1"/>
  <c r="AV108" i="3"/>
  <c r="AX108" i="3" s="1"/>
  <c r="AV91" i="3"/>
  <c r="AX91" i="3" s="1"/>
  <c r="AV74" i="3"/>
  <c r="AX74" i="3" s="1"/>
  <c r="AV40" i="3"/>
  <c r="AX40" i="3" s="1"/>
  <c r="AE125" i="3"/>
  <c r="AG125" i="3" s="1"/>
  <c r="AE91" i="3"/>
  <c r="AG91" i="3" s="1"/>
  <c r="AE40" i="3"/>
  <c r="AG40" i="3" s="1"/>
  <c r="N193" i="3"/>
  <c r="P193" i="3" s="1"/>
  <c r="N108" i="3"/>
  <c r="P108" i="3" s="1"/>
  <c r="N57" i="3"/>
  <c r="P57" i="3" s="1"/>
  <c r="AV57" i="3"/>
  <c r="AX57" i="3" s="1"/>
  <c r="N159" i="3"/>
  <c r="P159" i="3" s="1"/>
  <c r="AE210" i="3"/>
  <c r="AG210" i="3" s="1"/>
  <c r="AE57" i="3"/>
  <c r="AG57" i="3" s="1"/>
  <c r="N210" i="3"/>
  <c r="P210" i="3" s="1"/>
  <c r="N125" i="3"/>
  <c r="P125" i="3" s="1"/>
  <c r="AR345" i="3"/>
  <c r="AT345" i="3" s="1"/>
  <c r="AA345" i="3"/>
  <c r="AC345" i="3" s="1"/>
  <c r="J345" i="3"/>
  <c r="L345" i="3" s="1"/>
  <c r="AA328" i="3"/>
  <c r="AC328" i="3" s="1"/>
  <c r="J328" i="3"/>
  <c r="L328" i="3" s="1"/>
  <c r="AR311" i="3"/>
  <c r="AT311" i="3" s="1"/>
  <c r="AA311" i="3"/>
  <c r="AC311" i="3" s="1"/>
  <c r="J311" i="3"/>
  <c r="L311" i="3" s="1"/>
  <c r="J294" i="3"/>
  <c r="L294" i="3" s="1"/>
  <c r="J260" i="3"/>
  <c r="L260" i="3" s="1"/>
  <c r="J22" i="3"/>
  <c r="L22" i="3" s="1"/>
  <c r="AR328" i="3"/>
  <c r="AT328" i="3" s="1"/>
  <c r="AR294" i="3"/>
  <c r="AT294" i="3" s="1"/>
  <c r="AR277" i="3"/>
  <c r="AT277" i="3" s="1"/>
  <c r="AA277" i="3"/>
  <c r="AC277" i="3" s="1"/>
  <c r="AA260" i="3"/>
  <c r="AC260" i="3" s="1"/>
  <c r="AA294" i="3"/>
  <c r="AC294" i="3" s="1"/>
  <c r="J277" i="3"/>
  <c r="L277" i="3" s="1"/>
  <c r="AR260" i="3"/>
  <c r="AT260" i="3" s="1"/>
  <c r="AR243" i="3"/>
  <c r="AT243" i="3" s="1"/>
  <c r="AA243" i="3"/>
  <c r="AC243" i="3" s="1"/>
  <c r="J243" i="3"/>
  <c r="L243" i="3" s="1"/>
  <c r="AR226" i="3"/>
  <c r="AT226" i="3" s="1"/>
  <c r="AA226" i="3"/>
  <c r="AC226" i="3" s="1"/>
  <c r="J226" i="3"/>
  <c r="L226" i="3" s="1"/>
  <c r="AR209" i="3"/>
  <c r="AT209" i="3" s="1"/>
  <c r="AR124" i="3"/>
  <c r="AT124" i="3" s="1"/>
  <c r="AA39" i="3"/>
  <c r="AC39" i="3" s="1"/>
  <c r="J209" i="3"/>
  <c r="L209" i="3" s="1"/>
  <c r="J158" i="3"/>
  <c r="L158" i="3" s="1"/>
  <c r="J124" i="3"/>
  <c r="L124" i="3" s="1"/>
  <c r="J73" i="3"/>
  <c r="L73" i="3" s="1"/>
  <c r="AR192" i="3"/>
  <c r="AT192" i="3" s="1"/>
  <c r="AR175" i="3"/>
  <c r="AT175" i="3" s="1"/>
  <c r="AR158" i="3"/>
  <c r="AT158" i="3" s="1"/>
  <c r="AR141" i="3"/>
  <c r="AT141" i="3" s="1"/>
  <c r="AA124" i="3"/>
  <c r="AC124" i="3" s="1"/>
  <c r="AA90" i="3"/>
  <c r="AC90" i="3" s="1"/>
  <c r="AA22" i="3"/>
  <c r="AC22" i="3" s="1"/>
  <c r="J192" i="3"/>
  <c r="L192" i="3" s="1"/>
  <c r="J141" i="3"/>
  <c r="L141" i="3" s="1"/>
  <c r="J107" i="3"/>
  <c r="L107" i="3" s="1"/>
  <c r="J56" i="3"/>
  <c r="L56" i="3" s="1"/>
  <c r="AR107" i="3"/>
  <c r="AT107" i="3" s="1"/>
  <c r="AR90" i="3"/>
  <c r="AT90" i="3" s="1"/>
  <c r="AR73" i="3"/>
  <c r="AT73" i="3" s="1"/>
  <c r="AR56" i="3"/>
  <c r="AT56" i="3" s="1"/>
  <c r="AR39" i="3"/>
  <c r="AT39" i="3" s="1"/>
  <c r="AR5" i="3"/>
  <c r="AT5" i="3" s="1"/>
  <c r="AA209" i="3"/>
  <c r="AC209" i="3" s="1"/>
  <c r="AA175" i="3"/>
  <c r="AC175" i="3" s="1"/>
  <c r="AA158" i="3"/>
  <c r="AC158" i="3" s="1"/>
  <c r="AA107" i="3"/>
  <c r="AC107" i="3" s="1"/>
  <c r="AA56" i="3"/>
  <c r="AC56" i="3" s="1"/>
  <c r="AA5" i="3"/>
  <c r="AC5" i="3" s="1"/>
  <c r="J39" i="3"/>
  <c r="L39" i="3" s="1"/>
  <c r="AR22" i="3"/>
  <c r="AT22" i="3" s="1"/>
  <c r="AA192" i="3"/>
  <c r="AC192" i="3" s="1"/>
  <c r="AA141" i="3"/>
  <c r="AC141" i="3" s="1"/>
  <c r="AA73" i="3"/>
  <c r="AC73" i="3" s="1"/>
  <c r="J175" i="3"/>
  <c r="L175" i="3" s="1"/>
  <c r="J90" i="3"/>
  <c r="L90" i="3" s="1"/>
  <c r="AR346" i="3"/>
  <c r="AT346" i="3" s="1"/>
  <c r="AA346" i="3"/>
  <c r="AC346" i="3" s="1"/>
  <c r="J346" i="3"/>
  <c r="L346" i="3" s="1"/>
  <c r="AA329" i="3"/>
  <c r="AC329" i="3" s="1"/>
  <c r="J329" i="3"/>
  <c r="L329" i="3" s="1"/>
  <c r="AR312" i="3"/>
  <c r="AT312" i="3" s="1"/>
  <c r="AA312" i="3"/>
  <c r="AC312" i="3" s="1"/>
  <c r="AR295" i="3"/>
  <c r="AT295" i="3" s="1"/>
  <c r="J295" i="3"/>
  <c r="L295" i="3" s="1"/>
  <c r="AA278" i="3"/>
  <c r="AC278" i="3" s="1"/>
  <c r="J278" i="3"/>
  <c r="L278" i="3" s="1"/>
  <c r="AR329" i="3"/>
  <c r="AT329" i="3" s="1"/>
  <c r="J312" i="3"/>
  <c r="L312" i="3" s="1"/>
  <c r="AR278" i="3"/>
  <c r="AT278" i="3" s="1"/>
  <c r="AA295" i="3"/>
  <c r="AC295" i="3" s="1"/>
  <c r="AR261" i="3"/>
  <c r="AT261" i="3" s="1"/>
  <c r="AA261" i="3"/>
  <c r="AC261" i="3" s="1"/>
  <c r="J261" i="3"/>
  <c r="L261" i="3" s="1"/>
  <c r="J108" i="3"/>
  <c r="L108" i="3" s="1"/>
  <c r="AR244" i="3"/>
  <c r="AT244" i="3" s="1"/>
  <c r="AA244" i="3"/>
  <c r="AC244" i="3" s="1"/>
  <c r="J244" i="3"/>
  <c r="L244" i="3" s="1"/>
  <c r="AR227" i="3"/>
  <c r="AT227" i="3" s="1"/>
  <c r="AA227" i="3"/>
  <c r="AC227" i="3" s="1"/>
  <c r="J227" i="3"/>
  <c r="L227" i="3" s="1"/>
  <c r="AR210" i="3"/>
  <c r="AT210" i="3" s="1"/>
  <c r="AR40" i="3"/>
  <c r="AT40" i="3" s="1"/>
  <c r="AR6" i="3"/>
  <c r="AT6" i="3" s="1"/>
  <c r="AA193" i="3"/>
  <c r="AC193" i="3" s="1"/>
  <c r="AA159" i="3"/>
  <c r="AC159" i="3" s="1"/>
  <c r="AA125" i="3"/>
  <c r="AC125" i="3" s="1"/>
  <c r="AA91" i="3"/>
  <c r="AC91" i="3" s="1"/>
  <c r="AA57" i="3"/>
  <c r="AC57" i="3" s="1"/>
  <c r="AA6" i="3"/>
  <c r="AC6" i="3" s="1"/>
  <c r="J193" i="3"/>
  <c r="L193" i="3" s="1"/>
  <c r="J142" i="3"/>
  <c r="L142" i="3" s="1"/>
  <c r="J74" i="3"/>
  <c r="L74" i="3" s="1"/>
  <c r="J40" i="3"/>
  <c r="L40" i="3" s="1"/>
  <c r="AR193" i="3"/>
  <c r="AT193" i="3" s="1"/>
  <c r="AR176" i="3"/>
  <c r="AT176" i="3" s="1"/>
  <c r="AR159" i="3"/>
  <c r="AT159" i="3" s="1"/>
  <c r="AR142" i="3"/>
  <c r="AT142" i="3" s="1"/>
  <c r="AR125" i="3"/>
  <c r="AT125" i="3" s="1"/>
  <c r="AR108" i="3"/>
  <c r="AT108" i="3" s="1"/>
  <c r="AR74" i="3"/>
  <c r="AT74" i="3" s="1"/>
  <c r="AR57" i="3"/>
  <c r="AT57" i="3" s="1"/>
  <c r="AR23" i="3"/>
  <c r="AT23" i="3" s="1"/>
  <c r="AA176" i="3"/>
  <c r="AC176" i="3" s="1"/>
  <c r="AA142" i="3"/>
  <c r="AC142" i="3" s="1"/>
  <c r="AA74" i="3"/>
  <c r="AC74" i="3" s="1"/>
  <c r="AA23" i="3"/>
  <c r="AC23" i="3" s="1"/>
  <c r="J210" i="3"/>
  <c r="L210" i="3" s="1"/>
  <c r="J159" i="3"/>
  <c r="L159" i="3" s="1"/>
  <c r="J91" i="3"/>
  <c r="L91" i="3" s="1"/>
  <c r="J57" i="3"/>
  <c r="L57" i="3" s="1"/>
  <c r="AR91" i="3"/>
  <c r="AT91" i="3" s="1"/>
  <c r="AA210" i="3"/>
  <c r="AC210" i="3" s="1"/>
  <c r="AA108" i="3"/>
  <c r="AC108" i="3" s="1"/>
  <c r="AA40" i="3"/>
  <c r="AC40" i="3" s="1"/>
  <c r="J176" i="3"/>
  <c r="L176" i="3" s="1"/>
  <c r="J125" i="3"/>
  <c r="L125" i="3" s="1"/>
  <c r="J23" i="3"/>
  <c r="L23" i="3" s="1"/>
  <c r="AR344" i="3"/>
  <c r="AT344" i="3" s="1"/>
  <c r="AA344" i="3"/>
  <c r="AC344" i="3" s="1"/>
  <c r="J344" i="3"/>
  <c r="L344" i="3" s="1"/>
  <c r="AR327" i="3"/>
  <c r="AT327" i="3" s="1"/>
  <c r="AA327" i="3"/>
  <c r="AC327" i="3" s="1"/>
  <c r="J327" i="3"/>
  <c r="L327" i="3" s="1"/>
  <c r="AR310" i="3"/>
  <c r="AT310" i="3" s="1"/>
  <c r="AA310" i="3"/>
  <c r="AC310" i="3" s="1"/>
  <c r="J310" i="3"/>
  <c r="L310" i="3" s="1"/>
  <c r="AA89" i="3"/>
  <c r="AC89" i="3" s="1"/>
  <c r="AA72" i="3"/>
  <c r="AC72" i="3" s="1"/>
  <c r="J208" i="3"/>
  <c r="L208" i="3" s="1"/>
  <c r="J123" i="3"/>
  <c r="L123" i="3" s="1"/>
  <c r="J89" i="3"/>
  <c r="L89" i="3" s="1"/>
  <c r="J21" i="3"/>
  <c r="L21" i="3" s="1"/>
  <c r="AR293" i="3"/>
  <c r="AT293" i="3" s="1"/>
  <c r="AA293" i="3"/>
  <c r="AC293" i="3" s="1"/>
  <c r="J293" i="3"/>
  <c r="L293" i="3" s="1"/>
  <c r="AR276" i="3"/>
  <c r="AT276" i="3" s="1"/>
  <c r="AA276" i="3"/>
  <c r="AC276" i="3" s="1"/>
  <c r="J276" i="3"/>
  <c r="L276" i="3" s="1"/>
  <c r="AR174" i="3"/>
  <c r="AT174" i="3" s="1"/>
  <c r="AR140" i="3"/>
  <c r="AT140" i="3" s="1"/>
  <c r="AR72" i="3"/>
  <c r="AT72" i="3" s="1"/>
  <c r="AR4" i="3"/>
  <c r="AT4" i="3" s="1"/>
  <c r="AA174" i="3"/>
  <c r="AC174" i="3" s="1"/>
  <c r="AA140" i="3"/>
  <c r="AC140" i="3" s="1"/>
  <c r="AA38" i="3"/>
  <c r="AC38" i="3" s="1"/>
  <c r="J174" i="3"/>
  <c r="L174" i="3" s="1"/>
  <c r="J72" i="3"/>
  <c r="L72" i="3" s="1"/>
  <c r="AR259" i="3"/>
  <c r="AT259" i="3" s="1"/>
  <c r="AA259" i="3"/>
  <c r="AC259" i="3" s="1"/>
  <c r="J259" i="3"/>
  <c r="L259" i="3" s="1"/>
  <c r="AA225" i="3"/>
  <c r="AC225" i="3" s="1"/>
  <c r="AR55" i="3"/>
  <c r="AT55" i="3" s="1"/>
  <c r="AA157" i="3"/>
  <c r="AC157" i="3" s="1"/>
  <c r="AA55" i="3"/>
  <c r="AC55" i="3" s="1"/>
  <c r="J191" i="3"/>
  <c r="L191" i="3" s="1"/>
  <c r="AR242" i="3"/>
  <c r="AT242" i="3" s="1"/>
  <c r="AA242" i="3"/>
  <c r="AC242" i="3" s="1"/>
  <c r="J242" i="3"/>
  <c r="L242" i="3" s="1"/>
  <c r="AR225" i="3"/>
  <c r="AT225" i="3" s="1"/>
  <c r="J225" i="3"/>
  <c r="L225" i="3" s="1"/>
  <c r="AR208" i="3"/>
  <c r="AT208" i="3" s="1"/>
  <c r="AR157" i="3"/>
  <c r="AT157" i="3" s="1"/>
  <c r="AR106" i="3"/>
  <c r="AT106" i="3" s="1"/>
  <c r="AR38" i="3"/>
  <c r="AT38" i="3" s="1"/>
  <c r="AA208" i="3"/>
  <c r="AC208" i="3" s="1"/>
  <c r="AA123" i="3"/>
  <c r="AC123" i="3" s="1"/>
  <c r="AA4" i="3"/>
  <c r="AC4" i="3" s="1"/>
  <c r="J157" i="3"/>
  <c r="L157" i="3" s="1"/>
  <c r="J106" i="3"/>
  <c r="L106" i="3" s="1"/>
  <c r="J38" i="3"/>
  <c r="L38" i="3" s="1"/>
  <c r="AR191" i="3"/>
  <c r="AT191" i="3" s="1"/>
  <c r="AR123" i="3"/>
  <c r="AT123" i="3" s="1"/>
  <c r="AR89" i="3"/>
  <c r="AT89" i="3" s="1"/>
  <c r="AR21" i="3"/>
  <c r="AT21" i="3" s="1"/>
  <c r="AA191" i="3"/>
  <c r="AC191" i="3" s="1"/>
  <c r="AA106" i="3"/>
  <c r="AC106" i="3" s="1"/>
  <c r="AA21" i="3"/>
  <c r="AC21" i="3" s="1"/>
  <c r="J140" i="3"/>
  <c r="L140" i="3" s="1"/>
  <c r="J55" i="3"/>
  <c r="L55" i="3" s="1"/>
  <c r="AR343" i="3"/>
  <c r="AT343" i="3" s="1"/>
  <c r="AA343" i="3"/>
  <c r="AC343" i="3" s="1"/>
  <c r="J343" i="3"/>
  <c r="L343" i="3" s="1"/>
  <c r="AR326" i="3"/>
  <c r="AT326" i="3" s="1"/>
  <c r="AA326" i="3"/>
  <c r="AC326" i="3" s="1"/>
  <c r="J326" i="3"/>
  <c r="L326" i="3" s="1"/>
  <c r="AR309" i="3"/>
  <c r="AT309" i="3" s="1"/>
  <c r="AA309" i="3"/>
  <c r="AC309" i="3" s="1"/>
  <c r="J309" i="3"/>
  <c r="L309" i="3" s="1"/>
  <c r="AR292" i="3"/>
  <c r="AT292" i="3" s="1"/>
  <c r="J258" i="3"/>
  <c r="L258" i="3" s="1"/>
  <c r="AA241" i="3"/>
  <c r="AC241" i="3" s="1"/>
  <c r="AA224" i="3"/>
  <c r="AC224" i="3" s="1"/>
  <c r="AR190" i="3"/>
  <c r="AT190" i="3" s="1"/>
  <c r="AR139" i="3"/>
  <c r="AT139" i="3" s="1"/>
  <c r="AR20" i="3"/>
  <c r="AT20" i="3" s="1"/>
  <c r="AA156" i="3"/>
  <c r="AC156" i="3" s="1"/>
  <c r="AA105" i="3"/>
  <c r="AC105" i="3" s="1"/>
  <c r="AA88" i="3"/>
  <c r="AC88" i="3" s="1"/>
  <c r="AA37" i="3"/>
  <c r="AC37" i="3" s="1"/>
  <c r="J207" i="3"/>
  <c r="L207" i="3" s="1"/>
  <c r="J156" i="3"/>
  <c r="L156" i="3" s="1"/>
  <c r="J54" i="3"/>
  <c r="L54" i="3" s="1"/>
  <c r="J241" i="3"/>
  <c r="L241" i="3" s="1"/>
  <c r="AA139" i="3"/>
  <c r="AC139" i="3" s="1"/>
  <c r="J105" i="3"/>
  <c r="L105" i="3" s="1"/>
  <c r="AA292" i="3"/>
  <c r="AC292" i="3" s="1"/>
  <c r="J292" i="3"/>
  <c r="L292" i="3" s="1"/>
  <c r="AR275" i="3"/>
  <c r="AT275" i="3" s="1"/>
  <c r="AA275" i="3"/>
  <c r="AC275" i="3" s="1"/>
  <c r="J275" i="3"/>
  <c r="L275" i="3" s="1"/>
  <c r="AR258" i="3"/>
  <c r="AT258" i="3" s="1"/>
  <c r="AR224" i="3"/>
  <c r="AT224" i="3" s="1"/>
  <c r="J224" i="3"/>
  <c r="L224" i="3" s="1"/>
  <c r="AR173" i="3"/>
  <c r="AT173" i="3" s="1"/>
  <c r="AR122" i="3"/>
  <c r="AT122" i="3" s="1"/>
  <c r="AR54" i="3"/>
  <c r="AT54" i="3" s="1"/>
  <c r="AA190" i="3"/>
  <c r="AC190" i="3" s="1"/>
  <c r="J190" i="3"/>
  <c r="L190" i="3" s="1"/>
  <c r="AA258" i="3"/>
  <c r="AC258" i="3" s="1"/>
  <c r="AA54" i="3"/>
  <c r="AC54" i="3" s="1"/>
  <c r="J122" i="3"/>
  <c r="L122" i="3" s="1"/>
  <c r="AR241" i="3"/>
  <c r="AT241" i="3" s="1"/>
  <c r="AR207" i="3"/>
  <c r="AT207" i="3" s="1"/>
  <c r="AR156" i="3"/>
  <c r="AT156" i="3" s="1"/>
  <c r="AR105" i="3"/>
  <c r="AT105" i="3" s="1"/>
  <c r="AR88" i="3"/>
  <c r="AT88" i="3" s="1"/>
  <c r="AR71" i="3"/>
  <c r="AT71" i="3" s="1"/>
  <c r="AR37" i="3"/>
  <c r="AT37" i="3" s="1"/>
  <c r="AR3" i="3"/>
  <c r="AT3" i="3" s="1"/>
  <c r="AA173" i="3"/>
  <c r="AC173" i="3" s="1"/>
  <c r="AA122" i="3"/>
  <c r="AC122" i="3" s="1"/>
  <c r="AA71" i="3"/>
  <c r="AC71" i="3" s="1"/>
  <c r="AA20" i="3"/>
  <c r="AC20" i="3" s="1"/>
  <c r="AA3" i="3"/>
  <c r="AC3" i="3" s="1"/>
  <c r="J139" i="3"/>
  <c r="L139" i="3" s="1"/>
  <c r="J88" i="3"/>
  <c r="L88" i="3" s="1"/>
  <c r="J37" i="3"/>
  <c r="L37" i="3" s="1"/>
  <c r="AA207" i="3"/>
  <c r="AC207" i="3" s="1"/>
  <c r="J173" i="3"/>
  <c r="L173" i="3" s="1"/>
  <c r="J71" i="3"/>
  <c r="L71" i="3" s="1"/>
  <c r="J20" i="3"/>
  <c r="L20" i="3" s="1"/>
  <c r="AV344" i="3"/>
  <c r="AX344" i="3" s="1"/>
  <c r="AE344" i="3"/>
  <c r="AG344" i="3" s="1"/>
  <c r="N344" i="3"/>
  <c r="P344" i="3" s="1"/>
  <c r="AE276" i="3"/>
  <c r="AG276" i="3" s="1"/>
  <c r="N123" i="3"/>
  <c r="P123" i="3" s="1"/>
  <c r="AV327" i="3"/>
  <c r="AX327" i="3" s="1"/>
  <c r="AE327" i="3"/>
  <c r="AG327" i="3" s="1"/>
  <c r="N327" i="3"/>
  <c r="P327" i="3" s="1"/>
  <c r="AV310" i="3"/>
  <c r="AX310" i="3" s="1"/>
  <c r="AE310" i="3"/>
  <c r="AG310" i="3" s="1"/>
  <c r="N310" i="3"/>
  <c r="P310" i="3" s="1"/>
  <c r="AV293" i="3"/>
  <c r="AX293" i="3" s="1"/>
  <c r="N293" i="3"/>
  <c r="P293" i="3" s="1"/>
  <c r="AV276" i="3"/>
  <c r="AX276" i="3" s="1"/>
  <c r="AE259" i="3"/>
  <c r="AG259" i="3" s="1"/>
  <c r="N21" i="3"/>
  <c r="P21" i="3" s="1"/>
  <c r="AE293" i="3"/>
  <c r="AG293" i="3" s="1"/>
  <c r="N276" i="3"/>
  <c r="P276" i="3" s="1"/>
  <c r="AV259" i="3"/>
  <c r="AX259" i="3" s="1"/>
  <c r="N259" i="3"/>
  <c r="P259" i="3" s="1"/>
  <c r="AE38" i="3"/>
  <c r="AG38" i="3" s="1"/>
  <c r="N191" i="3"/>
  <c r="P191" i="3" s="1"/>
  <c r="N140" i="3"/>
  <c r="P140" i="3" s="1"/>
  <c r="N55" i="3"/>
  <c r="P55" i="3" s="1"/>
  <c r="AV242" i="3"/>
  <c r="AX242" i="3" s="1"/>
  <c r="AE242" i="3"/>
  <c r="AG242" i="3" s="1"/>
  <c r="N242" i="3"/>
  <c r="P242" i="3" s="1"/>
  <c r="AV225" i="3"/>
  <c r="AX225" i="3" s="1"/>
  <c r="AE225" i="3"/>
  <c r="AG225" i="3" s="1"/>
  <c r="N225" i="3"/>
  <c r="P225" i="3" s="1"/>
  <c r="AV208" i="3"/>
  <c r="AX208" i="3" s="1"/>
  <c r="AV72" i="3"/>
  <c r="AX72" i="3" s="1"/>
  <c r="AV38" i="3"/>
  <c r="AX38" i="3" s="1"/>
  <c r="AV4" i="3"/>
  <c r="AX4" i="3" s="1"/>
  <c r="AE174" i="3"/>
  <c r="AG174" i="3" s="1"/>
  <c r="AE140" i="3"/>
  <c r="AG140" i="3" s="1"/>
  <c r="AE106" i="3"/>
  <c r="AG106" i="3" s="1"/>
  <c r="AE55" i="3"/>
  <c r="AG55" i="3" s="1"/>
  <c r="AV191" i="3"/>
  <c r="AX191" i="3" s="1"/>
  <c r="AV174" i="3"/>
  <c r="AX174" i="3" s="1"/>
  <c r="AV157" i="3"/>
  <c r="AX157" i="3" s="1"/>
  <c r="AV140" i="3"/>
  <c r="AX140" i="3" s="1"/>
  <c r="AV123" i="3"/>
  <c r="AX123" i="3" s="1"/>
  <c r="AV89" i="3"/>
  <c r="AX89" i="3" s="1"/>
  <c r="AV55" i="3"/>
  <c r="AX55" i="3" s="1"/>
  <c r="AV21" i="3"/>
  <c r="AX21" i="3" s="1"/>
  <c r="AE208" i="3"/>
  <c r="AG208" i="3" s="1"/>
  <c r="AE157" i="3"/>
  <c r="AG157" i="3" s="1"/>
  <c r="AE89" i="3"/>
  <c r="AG89" i="3" s="1"/>
  <c r="AE21" i="3"/>
  <c r="AG21" i="3" s="1"/>
  <c r="N174" i="3"/>
  <c r="P174" i="3" s="1"/>
  <c r="N89" i="3"/>
  <c r="P89" i="3" s="1"/>
  <c r="N38" i="3"/>
  <c r="P38" i="3" s="1"/>
  <c r="AV106" i="3"/>
  <c r="AX106" i="3" s="1"/>
  <c r="AE191" i="3"/>
  <c r="AG191" i="3" s="1"/>
  <c r="AE123" i="3"/>
  <c r="AG123" i="3" s="1"/>
  <c r="AE72" i="3"/>
  <c r="AG72" i="3" s="1"/>
  <c r="AE4" i="3"/>
  <c r="AG4" i="3" s="1"/>
  <c r="N208" i="3"/>
  <c r="P208" i="3" s="1"/>
  <c r="N157" i="3"/>
  <c r="P157" i="3" s="1"/>
  <c r="N106" i="3"/>
  <c r="P106" i="3" s="1"/>
  <c r="N72" i="3"/>
  <c r="P72" i="3" s="1"/>
  <c r="AV343" i="3"/>
  <c r="AX343" i="3" s="1"/>
  <c r="AE343" i="3"/>
  <c r="AG343" i="3" s="1"/>
  <c r="N343" i="3"/>
  <c r="P343" i="3" s="1"/>
  <c r="AV292" i="3"/>
  <c r="AX292" i="3" s="1"/>
  <c r="AV326" i="3"/>
  <c r="AX326" i="3" s="1"/>
  <c r="AE326" i="3"/>
  <c r="AG326" i="3" s="1"/>
  <c r="N326" i="3"/>
  <c r="P326" i="3" s="1"/>
  <c r="AV309" i="3"/>
  <c r="AX309" i="3" s="1"/>
  <c r="AE309" i="3"/>
  <c r="AG309" i="3" s="1"/>
  <c r="N309" i="3"/>
  <c r="P309" i="3" s="1"/>
  <c r="AE292" i="3"/>
  <c r="AG292" i="3" s="1"/>
  <c r="N292" i="3"/>
  <c r="P292" i="3" s="1"/>
  <c r="AV275" i="3"/>
  <c r="AX275" i="3" s="1"/>
  <c r="AE275" i="3"/>
  <c r="AG275" i="3" s="1"/>
  <c r="N275" i="3"/>
  <c r="P275" i="3" s="1"/>
  <c r="AV258" i="3"/>
  <c r="AX258" i="3" s="1"/>
  <c r="AE258" i="3"/>
  <c r="AG258" i="3" s="1"/>
  <c r="N258" i="3"/>
  <c r="P258" i="3" s="1"/>
  <c r="AV241" i="3"/>
  <c r="AX241" i="3" s="1"/>
  <c r="AE241" i="3"/>
  <c r="AG241" i="3" s="1"/>
  <c r="N241" i="3"/>
  <c r="P241" i="3" s="1"/>
  <c r="AV224" i="3"/>
  <c r="AX224" i="3" s="1"/>
  <c r="AE224" i="3"/>
  <c r="AG224" i="3" s="1"/>
  <c r="N224" i="3"/>
  <c r="P224" i="3" s="1"/>
  <c r="AV207" i="3"/>
  <c r="AX207" i="3" s="1"/>
  <c r="AV173" i="3"/>
  <c r="AX173" i="3" s="1"/>
  <c r="AV156" i="3"/>
  <c r="AX156" i="3" s="1"/>
  <c r="AV122" i="3"/>
  <c r="AX122" i="3" s="1"/>
  <c r="AV54" i="3"/>
  <c r="AX54" i="3" s="1"/>
  <c r="AE173" i="3"/>
  <c r="AG173" i="3" s="1"/>
  <c r="AE122" i="3"/>
  <c r="AG122" i="3" s="1"/>
  <c r="AE71" i="3"/>
  <c r="AG71" i="3" s="1"/>
  <c r="AE37" i="3"/>
  <c r="AG37" i="3" s="1"/>
  <c r="N207" i="3"/>
  <c r="P207" i="3" s="1"/>
  <c r="N156" i="3"/>
  <c r="P156" i="3" s="1"/>
  <c r="N105" i="3"/>
  <c r="P105" i="3" s="1"/>
  <c r="N71" i="3"/>
  <c r="P71" i="3" s="1"/>
  <c r="N37" i="3"/>
  <c r="P37" i="3" s="1"/>
  <c r="AV190" i="3"/>
  <c r="AX190" i="3" s="1"/>
  <c r="AV139" i="3"/>
  <c r="AX139" i="3" s="1"/>
  <c r="AV88" i="3"/>
  <c r="AX88" i="3" s="1"/>
  <c r="AV20" i="3"/>
  <c r="AX20" i="3" s="1"/>
  <c r="AE207" i="3"/>
  <c r="AG207" i="3" s="1"/>
  <c r="AE156" i="3"/>
  <c r="AG156" i="3" s="1"/>
  <c r="AE139" i="3"/>
  <c r="AG139" i="3" s="1"/>
  <c r="AE88" i="3"/>
  <c r="AG88" i="3" s="1"/>
  <c r="AE54" i="3"/>
  <c r="AG54" i="3" s="1"/>
  <c r="AE3" i="3"/>
  <c r="AG3" i="3" s="1"/>
  <c r="N190" i="3"/>
  <c r="P190" i="3" s="1"/>
  <c r="N122" i="3"/>
  <c r="P122" i="3" s="1"/>
  <c r="AV105" i="3"/>
  <c r="AX105" i="3" s="1"/>
  <c r="AV71" i="3"/>
  <c r="AX71" i="3" s="1"/>
  <c r="AV37" i="3"/>
  <c r="AX37" i="3" s="1"/>
  <c r="AV3" i="3"/>
  <c r="AX3" i="3" s="1"/>
  <c r="AE190" i="3"/>
  <c r="AG190" i="3" s="1"/>
  <c r="AE105" i="3"/>
  <c r="AG105" i="3" s="1"/>
  <c r="AE20" i="3"/>
  <c r="AG20" i="3" s="1"/>
  <c r="N173" i="3"/>
  <c r="P173" i="3" s="1"/>
  <c r="N88" i="3"/>
  <c r="P88" i="3" s="1"/>
  <c r="N139" i="3"/>
  <c r="P139" i="3" s="1"/>
  <c r="N54" i="3"/>
  <c r="P54" i="3" s="1"/>
  <c r="N20" i="3"/>
  <c r="P20" i="3" s="1"/>
  <c r="AN346" i="3"/>
  <c r="AP346" i="3" s="1"/>
  <c r="W346" i="3"/>
  <c r="Y346" i="3" s="1"/>
  <c r="F346" i="3"/>
  <c r="H346" i="3" s="1"/>
  <c r="W278" i="3"/>
  <c r="Y278" i="3" s="1"/>
  <c r="W244" i="3"/>
  <c r="Y244" i="3" s="1"/>
  <c r="AN329" i="3"/>
  <c r="AP329" i="3" s="1"/>
  <c r="W329" i="3"/>
  <c r="Y329" i="3" s="1"/>
  <c r="F329" i="3"/>
  <c r="H329" i="3" s="1"/>
  <c r="AN312" i="3"/>
  <c r="AP312" i="3" s="1"/>
  <c r="W312" i="3"/>
  <c r="Y312" i="3" s="1"/>
  <c r="F312" i="3"/>
  <c r="H312" i="3" s="1"/>
  <c r="AN295" i="3"/>
  <c r="AP295" i="3" s="1"/>
  <c r="F295" i="3"/>
  <c r="H295" i="3" s="1"/>
  <c r="AN278" i="3"/>
  <c r="AP278" i="3" s="1"/>
  <c r="F278" i="3"/>
  <c r="H278" i="3" s="1"/>
  <c r="AN261" i="3"/>
  <c r="AP261" i="3" s="1"/>
  <c r="W261" i="3"/>
  <c r="Y261" i="3" s="1"/>
  <c r="F261" i="3"/>
  <c r="H261" i="3" s="1"/>
  <c r="AN244" i="3"/>
  <c r="AP244" i="3" s="1"/>
  <c r="W295" i="3"/>
  <c r="Y295" i="3" s="1"/>
  <c r="F244" i="3"/>
  <c r="H244" i="3" s="1"/>
  <c r="AN227" i="3"/>
  <c r="AP227" i="3" s="1"/>
  <c r="W227" i="3"/>
  <c r="Y227" i="3" s="1"/>
  <c r="F227" i="3"/>
  <c r="H227" i="3" s="1"/>
  <c r="AN210" i="3"/>
  <c r="AP210" i="3" s="1"/>
  <c r="AN125" i="3"/>
  <c r="AP125" i="3" s="1"/>
  <c r="AN108" i="3"/>
  <c r="AP108" i="3" s="1"/>
  <c r="AN74" i="3"/>
  <c r="AP74" i="3" s="1"/>
  <c r="AN23" i="3"/>
  <c r="AP23" i="3" s="1"/>
  <c r="W159" i="3"/>
  <c r="Y159" i="3" s="1"/>
  <c r="W125" i="3"/>
  <c r="Y125" i="3" s="1"/>
  <c r="W91" i="3"/>
  <c r="Y91" i="3" s="1"/>
  <c r="W23" i="3"/>
  <c r="Y23" i="3" s="1"/>
  <c r="F193" i="3"/>
  <c r="H193" i="3" s="1"/>
  <c r="F142" i="3"/>
  <c r="H142" i="3" s="1"/>
  <c r="F74" i="3"/>
  <c r="H74" i="3" s="1"/>
  <c r="F23" i="3"/>
  <c r="H23" i="3" s="1"/>
  <c r="AN193" i="3"/>
  <c r="AP193" i="3" s="1"/>
  <c r="AN176" i="3"/>
  <c r="AP176" i="3" s="1"/>
  <c r="AN159" i="3"/>
  <c r="AP159" i="3" s="1"/>
  <c r="AN142" i="3"/>
  <c r="AP142" i="3" s="1"/>
  <c r="AN91" i="3"/>
  <c r="AP91" i="3" s="1"/>
  <c r="AN57" i="3"/>
  <c r="AP57" i="3" s="1"/>
  <c r="W176" i="3"/>
  <c r="Y176" i="3" s="1"/>
  <c r="W108" i="3"/>
  <c r="Y108" i="3" s="1"/>
  <c r="W57" i="3"/>
  <c r="Y57" i="3" s="1"/>
  <c r="F210" i="3"/>
  <c r="H210" i="3" s="1"/>
  <c r="F125" i="3"/>
  <c r="H125" i="3" s="1"/>
  <c r="F91" i="3"/>
  <c r="H91" i="3" s="1"/>
  <c r="AN40" i="3"/>
  <c r="AP40" i="3" s="1"/>
  <c r="W6" i="3"/>
  <c r="Y6" i="3" s="1"/>
  <c r="F159" i="3"/>
  <c r="H159" i="3" s="1"/>
  <c r="F57" i="3"/>
  <c r="H57" i="3" s="1"/>
  <c r="AN6" i="3"/>
  <c r="AP6" i="3" s="1"/>
  <c r="W210" i="3"/>
  <c r="Y210" i="3" s="1"/>
  <c r="W193" i="3"/>
  <c r="Y193" i="3" s="1"/>
  <c r="W142" i="3"/>
  <c r="Y142" i="3" s="1"/>
  <c r="W74" i="3"/>
  <c r="Y74" i="3" s="1"/>
  <c r="W40" i="3"/>
  <c r="Y40" i="3" s="1"/>
  <c r="F176" i="3"/>
  <c r="H176" i="3" s="1"/>
  <c r="F108" i="3"/>
  <c r="H108" i="3" s="1"/>
  <c r="F40" i="3"/>
  <c r="H40" i="3" s="1"/>
  <c r="AN345" i="3"/>
  <c r="AP345" i="3" s="1"/>
  <c r="W345" i="3"/>
  <c r="Y345" i="3" s="1"/>
  <c r="F345" i="3"/>
  <c r="H345" i="3" s="1"/>
  <c r="AN243" i="3"/>
  <c r="AP243" i="3" s="1"/>
  <c r="F56" i="3"/>
  <c r="H56" i="3" s="1"/>
  <c r="AN328" i="3"/>
  <c r="AP328" i="3" s="1"/>
  <c r="W328" i="3"/>
  <c r="Y328" i="3" s="1"/>
  <c r="F328" i="3"/>
  <c r="H328" i="3" s="1"/>
  <c r="AN311" i="3"/>
  <c r="AP311" i="3" s="1"/>
  <c r="W311" i="3"/>
  <c r="Y311" i="3" s="1"/>
  <c r="F311" i="3"/>
  <c r="H311" i="3" s="1"/>
  <c r="AN294" i="3"/>
  <c r="AP294" i="3" s="1"/>
  <c r="F277" i="3"/>
  <c r="H277" i="3" s="1"/>
  <c r="F260" i="3"/>
  <c r="H260" i="3" s="1"/>
  <c r="W39" i="3"/>
  <c r="Y39" i="3" s="1"/>
  <c r="F192" i="3"/>
  <c r="H192" i="3" s="1"/>
  <c r="F90" i="3"/>
  <c r="H90" i="3" s="1"/>
  <c r="W294" i="3"/>
  <c r="Y294" i="3" s="1"/>
  <c r="F294" i="3"/>
  <c r="H294" i="3" s="1"/>
  <c r="AN277" i="3"/>
  <c r="AP277" i="3" s="1"/>
  <c r="W277" i="3"/>
  <c r="Y277" i="3" s="1"/>
  <c r="W260" i="3"/>
  <c r="Y260" i="3" s="1"/>
  <c r="AN260" i="3"/>
  <c r="AP260" i="3" s="1"/>
  <c r="W243" i="3"/>
  <c r="Y243" i="3" s="1"/>
  <c r="F243" i="3"/>
  <c r="H243" i="3" s="1"/>
  <c r="AN226" i="3"/>
  <c r="AP226" i="3" s="1"/>
  <c r="W226" i="3"/>
  <c r="Y226" i="3" s="1"/>
  <c r="F226" i="3"/>
  <c r="H226" i="3" s="1"/>
  <c r="AN209" i="3"/>
  <c r="AP209" i="3" s="1"/>
  <c r="W175" i="3"/>
  <c r="Y175" i="3" s="1"/>
  <c r="W90" i="3"/>
  <c r="Y90" i="3" s="1"/>
  <c r="W22" i="3"/>
  <c r="Y22" i="3" s="1"/>
  <c r="F158" i="3"/>
  <c r="H158" i="3" s="1"/>
  <c r="AN192" i="3"/>
  <c r="AP192" i="3" s="1"/>
  <c r="AN175" i="3"/>
  <c r="AP175" i="3" s="1"/>
  <c r="AN158" i="3"/>
  <c r="AP158" i="3" s="1"/>
  <c r="AN141" i="3"/>
  <c r="AP141" i="3" s="1"/>
  <c r="AN124" i="3"/>
  <c r="AP124" i="3" s="1"/>
  <c r="W158" i="3"/>
  <c r="Y158" i="3" s="1"/>
  <c r="W107" i="3"/>
  <c r="Y107" i="3" s="1"/>
  <c r="W56" i="3"/>
  <c r="Y56" i="3" s="1"/>
  <c r="F209" i="3"/>
  <c r="H209" i="3" s="1"/>
  <c r="F124" i="3"/>
  <c r="H124" i="3" s="1"/>
  <c r="F73" i="3"/>
  <c r="H73" i="3" s="1"/>
  <c r="F22" i="3"/>
  <c r="H22" i="3" s="1"/>
  <c r="AN107" i="3"/>
  <c r="AP107" i="3" s="1"/>
  <c r="AN90" i="3"/>
  <c r="AP90" i="3" s="1"/>
  <c r="AN73" i="3"/>
  <c r="AP73" i="3" s="1"/>
  <c r="AN56" i="3"/>
  <c r="AP56" i="3" s="1"/>
  <c r="AN39" i="3"/>
  <c r="AP39" i="3" s="1"/>
  <c r="AN5" i="3"/>
  <c r="AP5" i="3" s="1"/>
  <c r="W192" i="3"/>
  <c r="Y192" i="3" s="1"/>
  <c r="W141" i="3"/>
  <c r="Y141" i="3" s="1"/>
  <c r="W124" i="3"/>
  <c r="Y124" i="3" s="1"/>
  <c r="W73" i="3"/>
  <c r="Y73" i="3" s="1"/>
  <c r="W5" i="3"/>
  <c r="Y5" i="3" s="1"/>
  <c r="F175" i="3"/>
  <c r="H175" i="3" s="1"/>
  <c r="F107" i="3"/>
  <c r="H107" i="3" s="1"/>
  <c r="F39" i="3"/>
  <c r="H39" i="3" s="1"/>
  <c r="AN22" i="3"/>
  <c r="AP22" i="3" s="1"/>
  <c r="W209" i="3"/>
  <c r="Y209" i="3" s="1"/>
  <c r="F141" i="3"/>
  <c r="H141" i="3" s="1"/>
  <c r="AN344" i="3"/>
  <c r="AP344" i="3" s="1"/>
  <c r="W344" i="3"/>
  <c r="Y344" i="3" s="1"/>
  <c r="F344" i="3"/>
  <c r="H344" i="3" s="1"/>
  <c r="AN293" i="3"/>
  <c r="AP293" i="3" s="1"/>
  <c r="F276" i="3"/>
  <c r="H276" i="3" s="1"/>
  <c r="F38" i="3"/>
  <c r="H38" i="3" s="1"/>
  <c r="AN327" i="3"/>
  <c r="AP327" i="3" s="1"/>
  <c r="W327" i="3"/>
  <c r="Y327" i="3" s="1"/>
  <c r="F327" i="3"/>
  <c r="H327" i="3" s="1"/>
  <c r="AN310" i="3"/>
  <c r="AP310" i="3" s="1"/>
  <c r="W310" i="3"/>
  <c r="Y310" i="3" s="1"/>
  <c r="F310" i="3"/>
  <c r="H310" i="3" s="1"/>
  <c r="F293" i="3"/>
  <c r="H293" i="3" s="1"/>
  <c r="W276" i="3"/>
  <c r="Y276" i="3" s="1"/>
  <c r="W259" i="3"/>
  <c r="Y259" i="3" s="1"/>
  <c r="W293" i="3"/>
  <c r="Y293" i="3" s="1"/>
  <c r="AN276" i="3"/>
  <c r="AP276" i="3" s="1"/>
  <c r="F259" i="3"/>
  <c r="H259" i="3" s="1"/>
  <c r="AN259" i="3"/>
  <c r="AP259" i="3" s="1"/>
  <c r="AN242" i="3"/>
  <c r="AP242" i="3" s="1"/>
  <c r="W242" i="3"/>
  <c r="Y242" i="3" s="1"/>
  <c r="F242" i="3"/>
  <c r="H242" i="3" s="1"/>
  <c r="AN225" i="3"/>
  <c r="AP225" i="3" s="1"/>
  <c r="W225" i="3"/>
  <c r="Y225" i="3" s="1"/>
  <c r="F225" i="3"/>
  <c r="H225" i="3" s="1"/>
  <c r="AN208" i="3"/>
  <c r="AP208" i="3" s="1"/>
  <c r="F208" i="3"/>
  <c r="H208" i="3" s="1"/>
  <c r="F140" i="3"/>
  <c r="H140" i="3" s="1"/>
  <c r="F55" i="3"/>
  <c r="H55" i="3" s="1"/>
  <c r="AN191" i="3"/>
  <c r="AP191" i="3" s="1"/>
  <c r="AN174" i="3"/>
  <c r="AP174" i="3" s="1"/>
  <c r="AN157" i="3"/>
  <c r="AP157" i="3" s="1"/>
  <c r="AN140" i="3"/>
  <c r="AP140" i="3" s="1"/>
  <c r="AN123" i="3"/>
  <c r="AP123" i="3" s="1"/>
  <c r="W123" i="3"/>
  <c r="Y123" i="3" s="1"/>
  <c r="W89" i="3"/>
  <c r="Y89" i="3" s="1"/>
  <c r="W55" i="3"/>
  <c r="Y55" i="3" s="1"/>
  <c r="W21" i="3"/>
  <c r="Y21" i="3" s="1"/>
  <c r="F191" i="3"/>
  <c r="H191" i="3" s="1"/>
  <c r="F157" i="3"/>
  <c r="H157" i="3" s="1"/>
  <c r="F106" i="3"/>
  <c r="H106" i="3" s="1"/>
  <c r="F72" i="3"/>
  <c r="H72" i="3" s="1"/>
  <c r="AN106" i="3"/>
  <c r="AP106" i="3" s="1"/>
  <c r="AN89" i="3"/>
  <c r="AP89" i="3" s="1"/>
  <c r="AN72" i="3"/>
  <c r="AP72" i="3" s="1"/>
  <c r="AN55" i="3"/>
  <c r="AP55" i="3" s="1"/>
  <c r="AN38" i="3"/>
  <c r="AP38" i="3" s="1"/>
  <c r="W72" i="3"/>
  <c r="Y72" i="3" s="1"/>
  <c r="W4" i="3"/>
  <c r="Y4" i="3" s="1"/>
  <c r="F21" i="3"/>
  <c r="H21" i="3" s="1"/>
  <c r="AN21" i="3"/>
  <c r="AP21" i="3" s="1"/>
  <c r="AN4" i="3"/>
  <c r="AP4" i="3" s="1"/>
  <c r="W208" i="3"/>
  <c r="Y208" i="3" s="1"/>
  <c r="W191" i="3"/>
  <c r="Y191" i="3" s="1"/>
  <c r="W174" i="3"/>
  <c r="Y174" i="3" s="1"/>
  <c r="W157" i="3"/>
  <c r="Y157" i="3" s="1"/>
  <c r="W106" i="3"/>
  <c r="Y106" i="3" s="1"/>
  <c r="W38" i="3"/>
  <c r="Y38" i="3" s="1"/>
  <c r="F174" i="3"/>
  <c r="H174" i="3" s="1"/>
  <c r="F89" i="3"/>
  <c r="H89" i="3" s="1"/>
  <c r="W140" i="3"/>
  <c r="Y140" i="3" s="1"/>
  <c r="F123" i="3"/>
  <c r="H123" i="3" s="1"/>
  <c r="AN343" i="3"/>
  <c r="AP343" i="3" s="1"/>
  <c r="W343" i="3"/>
  <c r="Y343" i="3" s="1"/>
  <c r="F343" i="3"/>
  <c r="H343" i="3" s="1"/>
  <c r="F309" i="3"/>
  <c r="H309" i="3" s="1"/>
  <c r="AN292" i="3"/>
  <c r="AP292" i="3" s="1"/>
  <c r="AN326" i="3"/>
  <c r="AP326" i="3" s="1"/>
  <c r="W326" i="3"/>
  <c r="Y326" i="3" s="1"/>
  <c r="F326" i="3"/>
  <c r="H326" i="3" s="1"/>
  <c r="AN309" i="3"/>
  <c r="AP309" i="3" s="1"/>
  <c r="W309" i="3"/>
  <c r="Y309" i="3" s="1"/>
  <c r="W275" i="3"/>
  <c r="Y275" i="3" s="1"/>
  <c r="F258" i="3"/>
  <c r="H258" i="3" s="1"/>
  <c r="W292" i="3"/>
  <c r="Y292" i="3" s="1"/>
  <c r="F292" i="3"/>
  <c r="H292" i="3" s="1"/>
  <c r="AN275" i="3"/>
  <c r="AP275" i="3" s="1"/>
  <c r="F275" i="3"/>
  <c r="H275" i="3" s="1"/>
  <c r="AN258" i="3"/>
  <c r="AP258" i="3" s="1"/>
  <c r="W258" i="3"/>
  <c r="Y258" i="3" s="1"/>
  <c r="AN241" i="3"/>
  <c r="AP241" i="3" s="1"/>
  <c r="W241" i="3"/>
  <c r="Y241" i="3" s="1"/>
  <c r="F241" i="3"/>
  <c r="H241" i="3" s="1"/>
  <c r="AN224" i="3"/>
  <c r="AP224" i="3" s="1"/>
  <c r="W224" i="3"/>
  <c r="Y224" i="3" s="1"/>
  <c r="F224" i="3"/>
  <c r="H224" i="3" s="1"/>
  <c r="AN207" i="3"/>
  <c r="AP207" i="3" s="1"/>
  <c r="F37" i="3"/>
  <c r="H37" i="3" s="1"/>
  <c r="AN190" i="3"/>
  <c r="AP190" i="3" s="1"/>
  <c r="AN173" i="3"/>
  <c r="AP173" i="3" s="1"/>
  <c r="AN156" i="3"/>
  <c r="AP156" i="3" s="1"/>
  <c r="AN139" i="3"/>
  <c r="AP139" i="3" s="1"/>
  <c r="AN122" i="3"/>
  <c r="AP122" i="3" s="1"/>
  <c r="W105" i="3"/>
  <c r="Y105" i="3" s="1"/>
  <c r="W54" i="3"/>
  <c r="Y54" i="3" s="1"/>
  <c r="F207" i="3"/>
  <c r="H207" i="3" s="1"/>
  <c r="F139" i="3"/>
  <c r="H139" i="3" s="1"/>
  <c r="F71" i="3"/>
  <c r="H71" i="3" s="1"/>
  <c r="AN105" i="3"/>
  <c r="AP105" i="3" s="1"/>
  <c r="AN88" i="3"/>
  <c r="AP88" i="3" s="1"/>
  <c r="AN71" i="3"/>
  <c r="AP71" i="3" s="1"/>
  <c r="AN54" i="3"/>
  <c r="AP54" i="3" s="1"/>
  <c r="AN37" i="3"/>
  <c r="AP37" i="3" s="1"/>
  <c r="W207" i="3"/>
  <c r="Y207" i="3" s="1"/>
  <c r="W173" i="3"/>
  <c r="Y173" i="3" s="1"/>
  <c r="W156" i="3"/>
  <c r="Y156" i="3" s="1"/>
  <c r="W88" i="3"/>
  <c r="Y88" i="3" s="1"/>
  <c r="W37" i="3"/>
  <c r="Y37" i="3" s="1"/>
  <c r="F190" i="3"/>
  <c r="H190" i="3" s="1"/>
  <c r="F105" i="3"/>
  <c r="H105" i="3" s="1"/>
  <c r="AN20" i="3"/>
  <c r="AP20" i="3" s="1"/>
  <c r="AN3" i="3"/>
  <c r="AP3" i="3" s="1"/>
  <c r="W190" i="3"/>
  <c r="Y190" i="3" s="1"/>
  <c r="W122" i="3"/>
  <c r="Y122" i="3" s="1"/>
  <c r="W71" i="3"/>
  <c r="Y71" i="3" s="1"/>
  <c r="W3" i="3"/>
  <c r="Y3" i="3" s="1"/>
  <c r="F122" i="3"/>
  <c r="H122" i="3" s="1"/>
  <c r="F54" i="3"/>
  <c r="H54" i="3" s="1"/>
  <c r="W139" i="3"/>
  <c r="Y139" i="3" s="1"/>
  <c r="W20" i="3"/>
  <c r="Y20" i="3" s="1"/>
  <c r="F173" i="3"/>
  <c r="H173" i="3" s="1"/>
  <c r="F88" i="3"/>
  <c r="H88" i="3" s="1"/>
  <c r="F156" i="3"/>
  <c r="H156" i="3" s="1"/>
  <c r="F20" i="3"/>
  <c r="H20" i="3" s="1"/>
  <c r="AJ346" i="3"/>
  <c r="AL346" i="3" s="1"/>
  <c r="S346" i="3"/>
  <c r="U346" i="3" s="1"/>
  <c r="B346" i="3"/>
  <c r="D346" i="3" s="1"/>
  <c r="AJ329" i="3"/>
  <c r="AL329" i="3" s="1"/>
  <c r="S329" i="3"/>
  <c r="U329" i="3" s="1"/>
  <c r="B329" i="3"/>
  <c r="D329" i="3" s="1"/>
  <c r="AJ312" i="3"/>
  <c r="AL312" i="3" s="1"/>
  <c r="S312" i="3"/>
  <c r="U312" i="3" s="1"/>
  <c r="B312" i="3"/>
  <c r="D312" i="3" s="1"/>
  <c r="AJ295" i="3"/>
  <c r="AL295" i="3" s="1"/>
  <c r="S295" i="3"/>
  <c r="U295" i="3" s="1"/>
  <c r="B295" i="3"/>
  <c r="D295" i="3" s="1"/>
  <c r="AJ278" i="3"/>
  <c r="AL278" i="3" s="1"/>
  <c r="S278" i="3"/>
  <c r="U278" i="3" s="1"/>
  <c r="B278" i="3"/>
  <c r="D278" i="3" s="1"/>
  <c r="B261" i="3"/>
  <c r="D261" i="3" s="1"/>
  <c r="S244" i="3"/>
  <c r="U244" i="3" s="1"/>
  <c r="B244" i="3"/>
  <c r="D244" i="3" s="1"/>
  <c r="AJ74" i="3"/>
  <c r="AL74" i="3" s="1"/>
  <c r="AJ23" i="3"/>
  <c r="AL23" i="3" s="1"/>
  <c r="S193" i="3"/>
  <c r="U193" i="3" s="1"/>
  <c r="S125" i="3"/>
  <c r="U125" i="3" s="1"/>
  <c r="S74" i="3"/>
  <c r="U74" i="3" s="1"/>
  <c r="S23" i="3"/>
  <c r="U23" i="3" s="1"/>
  <c r="B176" i="3"/>
  <c r="D176" i="3" s="1"/>
  <c r="B108" i="3"/>
  <c r="D108" i="3" s="1"/>
  <c r="B40" i="3"/>
  <c r="D40" i="3" s="1"/>
  <c r="AJ261" i="3"/>
  <c r="AL261" i="3" s="1"/>
  <c r="S261" i="3"/>
  <c r="U261" i="3" s="1"/>
  <c r="AJ244" i="3"/>
  <c r="AL244" i="3" s="1"/>
  <c r="AJ108" i="3"/>
  <c r="AL108" i="3" s="1"/>
  <c r="AJ57" i="3"/>
  <c r="AL57" i="3" s="1"/>
  <c r="AJ6" i="3"/>
  <c r="AL6" i="3" s="1"/>
  <c r="S159" i="3"/>
  <c r="U159" i="3" s="1"/>
  <c r="S108" i="3"/>
  <c r="U108" i="3" s="1"/>
  <c r="S57" i="3"/>
  <c r="U57" i="3" s="1"/>
  <c r="S6" i="3"/>
  <c r="U6" i="3" s="1"/>
  <c r="B193" i="3"/>
  <c r="D193" i="3" s="1"/>
  <c r="B125" i="3"/>
  <c r="D125" i="3" s="1"/>
  <c r="B74" i="3"/>
  <c r="D74" i="3" s="1"/>
  <c r="B23" i="3"/>
  <c r="D23" i="3" s="1"/>
  <c r="AJ227" i="3"/>
  <c r="AL227" i="3" s="1"/>
  <c r="S227" i="3"/>
  <c r="U227" i="3" s="1"/>
  <c r="B227" i="3"/>
  <c r="D227" i="3" s="1"/>
  <c r="AJ210" i="3"/>
  <c r="AL210" i="3" s="1"/>
  <c r="AJ193" i="3"/>
  <c r="AL193" i="3" s="1"/>
  <c r="AJ176" i="3"/>
  <c r="AL176" i="3" s="1"/>
  <c r="AJ159" i="3"/>
  <c r="AL159" i="3" s="1"/>
  <c r="AJ142" i="3"/>
  <c r="AL142" i="3" s="1"/>
  <c r="AJ125" i="3"/>
  <c r="AL125" i="3" s="1"/>
  <c r="AJ91" i="3"/>
  <c r="AL91" i="3" s="1"/>
  <c r="AJ40" i="3"/>
  <c r="AL40" i="3" s="1"/>
  <c r="S210" i="3"/>
  <c r="U210" i="3" s="1"/>
  <c r="S176" i="3"/>
  <c r="U176" i="3" s="1"/>
  <c r="S142" i="3"/>
  <c r="U142" i="3" s="1"/>
  <c r="S91" i="3"/>
  <c r="U91" i="3" s="1"/>
  <c r="S40" i="3"/>
  <c r="U40" i="3" s="1"/>
  <c r="B210" i="3"/>
  <c r="D210" i="3" s="1"/>
  <c r="B159" i="3"/>
  <c r="D159" i="3" s="1"/>
  <c r="B91" i="3"/>
  <c r="D91" i="3" s="1"/>
  <c r="B57" i="3"/>
  <c r="D57" i="3" s="1"/>
  <c r="B142" i="3"/>
  <c r="D142" i="3" s="1"/>
  <c r="AJ345" i="3"/>
  <c r="AL345" i="3" s="1"/>
  <c r="S345" i="3"/>
  <c r="U345" i="3" s="1"/>
  <c r="B345" i="3"/>
  <c r="D345" i="3" s="1"/>
  <c r="AJ277" i="3"/>
  <c r="AL277" i="3" s="1"/>
  <c r="AJ328" i="3"/>
  <c r="AL328" i="3" s="1"/>
  <c r="S328" i="3"/>
  <c r="U328" i="3" s="1"/>
  <c r="B328" i="3"/>
  <c r="D328" i="3" s="1"/>
  <c r="AJ311" i="3"/>
  <c r="AL311" i="3" s="1"/>
  <c r="S311" i="3"/>
  <c r="U311" i="3" s="1"/>
  <c r="B311" i="3"/>
  <c r="D311" i="3" s="1"/>
  <c r="AJ294" i="3"/>
  <c r="AL294" i="3" s="1"/>
  <c r="S277" i="3"/>
  <c r="U277" i="3" s="1"/>
  <c r="B277" i="3"/>
  <c r="D277" i="3" s="1"/>
  <c r="S294" i="3"/>
  <c r="U294" i="3" s="1"/>
  <c r="B294" i="3"/>
  <c r="D294" i="3" s="1"/>
  <c r="AJ260" i="3"/>
  <c r="AL260" i="3" s="1"/>
  <c r="S260" i="3"/>
  <c r="U260" i="3" s="1"/>
  <c r="B260" i="3"/>
  <c r="D260" i="3" s="1"/>
  <c r="AJ243" i="3"/>
  <c r="AL243" i="3" s="1"/>
  <c r="S243" i="3"/>
  <c r="U243" i="3" s="1"/>
  <c r="B243" i="3"/>
  <c r="D243" i="3" s="1"/>
  <c r="AJ226" i="3"/>
  <c r="AL226" i="3" s="1"/>
  <c r="S226" i="3"/>
  <c r="U226" i="3" s="1"/>
  <c r="B226" i="3"/>
  <c r="D226" i="3" s="1"/>
  <c r="AJ209" i="3"/>
  <c r="AL209" i="3" s="1"/>
  <c r="S107" i="3"/>
  <c r="U107" i="3" s="1"/>
  <c r="S56" i="3"/>
  <c r="U56" i="3" s="1"/>
  <c r="S5" i="3"/>
  <c r="U5" i="3" s="1"/>
  <c r="B192" i="3"/>
  <c r="D192" i="3" s="1"/>
  <c r="B124" i="3"/>
  <c r="D124" i="3" s="1"/>
  <c r="B73" i="3"/>
  <c r="D73" i="3" s="1"/>
  <c r="B39" i="3"/>
  <c r="D39" i="3" s="1"/>
  <c r="AJ192" i="3"/>
  <c r="AL192" i="3" s="1"/>
  <c r="AJ175" i="3"/>
  <c r="AL175" i="3" s="1"/>
  <c r="AJ158" i="3"/>
  <c r="AL158" i="3" s="1"/>
  <c r="AJ141" i="3"/>
  <c r="AL141" i="3" s="1"/>
  <c r="AJ124" i="3"/>
  <c r="AL124" i="3" s="1"/>
  <c r="S158" i="3"/>
  <c r="U158" i="3" s="1"/>
  <c r="S124" i="3"/>
  <c r="U124" i="3" s="1"/>
  <c r="S73" i="3"/>
  <c r="U73" i="3" s="1"/>
  <c r="S22" i="3"/>
  <c r="U22" i="3" s="1"/>
  <c r="B158" i="3"/>
  <c r="D158" i="3" s="1"/>
  <c r="B107" i="3"/>
  <c r="D107" i="3" s="1"/>
  <c r="B56" i="3"/>
  <c r="D56" i="3" s="1"/>
  <c r="AJ107" i="3"/>
  <c r="AL107" i="3" s="1"/>
  <c r="AJ90" i="3"/>
  <c r="AL90" i="3" s="1"/>
  <c r="AJ73" i="3"/>
  <c r="AL73" i="3" s="1"/>
  <c r="AJ56" i="3"/>
  <c r="AL56" i="3" s="1"/>
  <c r="AJ39" i="3"/>
  <c r="AL39" i="3" s="1"/>
  <c r="AJ22" i="3"/>
  <c r="AL22" i="3" s="1"/>
  <c r="S39" i="3"/>
  <c r="U39" i="3" s="1"/>
  <c r="B175" i="3"/>
  <c r="D175" i="3" s="1"/>
  <c r="B90" i="3"/>
  <c r="D90" i="3" s="1"/>
  <c r="B22" i="3"/>
  <c r="D22" i="3" s="1"/>
  <c r="AJ5" i="3"/>
  <c r="AL5" i="3" s="1"/>
  <c r="S209" i="3"/>
  <c r="U209" i="3" s="1"/>
  <c r="S192" i="3"/>
  <c r="U192" i="3" s="1"/>
  <c r="S175" i="3"/>
  <c r="U175" i="3" s="1"/>
  <c r="S141" i="3"/>
  <c r="U141" i="3" s="1"/>
  <c r="S90" i="3"/>
  <c r="U90" i="3" s="1"/>
  <c r="B209" i="3"/>
  <c r="D209" i="3" s="1"/>
  <c r="B141" i="3"/>
  <c r="D141" i="3" s="1"/>
  <c r="S344" i="3"/>
  <c r="U344" i="3" s="1"/>
  <c r="B344" i="3"/>
  <c r="D344" i="3" s="1"/>
  <c r="AJ327" i="3"/>
  <c r="AL327" i="3" s="1"/>
  <c r="S327" i="3"/>
  <c r="U327" i="3" s="1"/>
  <c r="B327" i="3"/>
  <c r="D327" i="3" s="1"/>
  <c r="AJ310" i="3"/>
  <c r="AL310" i="3" s="1"/>
  <c r="S310" i="3"/>
  <c r="U310" i="3" s="1"/>
  <c r="B310" i="3"/>
  <c r="D310" i="3" s="1"/>
  <c r="AJ293" i="3"/>
  <c r="AL293" i="3" s="1"/>
  <c r="S293" i="3"/>
  <c r="U293" i="3" s="1"/>
  <c r="B293" i="3"/>
  <c r="D293" i="3" s="1"/>
  <c r="AJ276" i="3"/>
  <c r="AL276" i="3" s="1"/>
  <c r="S276" i="3"/>
  <c r="U276" i="3" s="1"/>
  <c r="B276" i="3"/>
  <c r="D276" i="3" s="1"/>
  <c r="AJ259" i="3"/>
  <c r="AL259" i="3" s="1"/>
  <c r="S259" i="3"/>
  <c r="U259" i="3" s="1"/>
  <c r="B259" i="3"/>
  <c r="D259" i="3" s="1"/>
  <c r="AJ242" i="3"/>
  <c r="AL242" i="3" s="1"/>
  <c r="S242" i="3"/>
  <c r="U242" i="3" s="1"/>
  <c r="B242" i="3"/>
  <c r="D242" i="3" s="1"/>
  <c r="S225" i="3"/>
  <c r="U225" i="3" s="1"/>
  <c r="B225" i="3"/>
  <c r="D225" i="3" s="1"/>
  <c r="AJ208" i="3"/>
  <c r="AL208" i="3" s="1"/>
  <c r="AJ191" i="3"/>
  <c r="AL191" i="3" s="1"/>
  <c r="AJ174" i="3"/>
  <c r="AL174" i="3" s="1"/>
  <c r="AJ157" i="3"/>
  <c r="AL157" i="3" s="1"/>
  <c r="AJ140" i="3"/>
  <c r="AL140" i="3" s="1"/>
  <c r="AJ123" i="3"/>
  <c r="AL123" i="3" s="1"/>
  <c r="AJ106" i="3"/>
  <c r="AL106" i="3" s="1"/>
  <c r="AJ55" i="3"/>
  <c r="AL55" i="3" s="1"/>
  <c r="AJ21" i="3"/>
  <c r="AL21" i="3" s="1"/>
  <c r="S208" i="3"/>
  <c r="U208" i="3" s="1"/>
  <c r="S191" i="3"/>
  <c r="U191" i="3" s="1"/>
  <c r="S157" i="3"/>
  <c r="U157" i="3" s="1"/>
  <c r="S123" i="3"/>
  <c r="U123" i="3" s="1"/>
  <c r="S89" i="3"/>
  <c r="U89" i="3" s="1"/>
  <c r="S4" i="3"/>
  <c r="U4" i="3" s="1"/>
  <c r="B174" i="3"/>
  <c r="D174" i="3" s="1"/>
  <c r="B140" i="3"/>
  <c r="D140" i="3" s="1"/>
  <c r="B106" i="3"/>
  <c r="D106" i="3" s="1"/>
  <c r="B72" i="3"/>
  <c r="D72" i="3" s="1"/>
  <c r="B21" i="3"/>
  <c r="D21" i="3" s="1"/>
  <c r="AJ225" i="3"/>
  <c r="AL225" i="3" s="1"/>
  <c r="AJ72" i="3"/>
  <c r="AL72" i="3" s="1"/>
  <c r="S140" i="3"/>
  <c r="U140" i="3" s="1"/>
  <c r="S55" i="3"/>
  <c r="U55" i="3" s="1"/>
  <c r="B55" i="3"/>
  <c r="D55" i="3" s="1"/>
  <c r="S174" i="3"/>
  <c r="U174" i="3" s="1"/>
  <c r="AJ89" i="3"/>
  <c r="AL89" i="3" s="1"/>
  <c r="AJ38" i="3"/>
  <c r="AL38" i="3" s="1"/>
  <c r="AJ4" i="3"/>
  <c r="AL4" i="3" s="1"/>
  <c r="S106" i="3"/>
  <c r="U106" i="3" s="1"/>
  <c r="S72" i="3"/>
  <c r="U72" i="3" s="1"/>
  <c r="S38" i="3"/>
  <c r="U38" i="3" s="1"/>
  <c r="S21" i="3"/>
  <c r="U21" i="3" s="1"/>
  <c r="B208" i="3"/>
  <c r="D208" i="3" s="1"/>
  <c r="B191" i="3"/>
  <c r="D191" i="3" s="1"/>
  <c r="B157" i="3"/>
  <c r="D157" i="3" s="1"/>
  <c r="B123" i="3"/>
  <c r="D123" i="3" s="1"/>
  <c r="B89" i="3"/>
  <c r="D89" i="3" s="1"/>
  <c r="B38" i="3"/>
  <c r="D38" i="3" s="1"/>
  <c r="S343" i="3"/>
  <c r="U343" i="3" s="1"/>
  <c r="B343" i="3"/>
  <c r="D343" i="3" s="1"/>
  <c r="AJ326" i="3"/>
  <c r="AL326" i="3" s="1"/>
  <c r="S326" i="3"/>
  <c r="U326" i="3" s="1"/>
  <c r="B326" i="3"/>
  <c r="D326" i="3" s="1"/>
  <c r="AJ309" i="3"/>
  <c r="AL309" i="3" s="1"/>
  <c r="S309" i="3"/>
  <c r="U309" i="3" s="1"/>
  <c r="B309" i="3"/>
  <c r="D309" i="3" s="1"/>
  <c r="AJ292" i="3"/>
  <c r="AL292" i="3" s="1"/>
  <c r="S292" i="3"/>
  <c r="U292" i="3" s="1"/>
  <c r="B292" i="3"/>
  <c r="D292" i="3" s="1"/>
  <c r="AJ275" i="3"/>
  <c r="AL275" i="3" s="1"/>
  <c r="S275" i="3"/>
  <c r="U275" i="3" s="1"/>
  <c r="B275" i="3"/>
  <c r="D275" i="3" s="1"/>
  <c r="B71" i="3"/>
  <c r="D71" i="3" s="1"/>
  <c r="AJ258" i="3"/>
  <c r="AL258" i="3" s="1"/>
  <c r="S258" i="3"/>
  <c r="U258" i="3" s="1"/>
  <c r="B258" i="3"/>
  <c r="D258" i="3" s="1"/>
  <c r="AJ241" i="3"/>
  <c r="AL241" i="3" s="1"/>
  <c r="S241" i="3"/>
  <c r="U241" i="3" s="1"/>
  <c r="B241" i="3"/>
  <c r="D241" i="3" s="1"/>
  <c r="S105" i="3"/>
  <c r="U105" i="3" s="1"/>
  <c r="S37" i="3"/>
  <c r="U37" i="3" s="1"/>
  <c r="B173" i="3"/>
  <c r="D173" i="3" s="1"/>
  <c r="B105" i="3"/>
  <c r="D105" i="3" s="1"/>
  <c r="B54" i="3"/>
  <c r="D54" i="3" s="1"/>
  <c r="AJ224" i="3"/>
  <c r="AL224" i="3" s="1"/>
  <c r="S224" i="3"/>
  <c r="U224" i="3" s="1"/>
  <c r="B224" i="3"/>
  <c r="D224" i="3" s="1"/>
  <c r="AJ207" i="3"/>
  <c r="AL207" i="3" s="1"/>
  <c r="AJ122" i="3"/>
  <c r="AL122" i="3" s="1"/>
  <c r="S207" i="3"/>
  <c r="U207" i="3" s="1"/>
  <c r="S173" i="3"/>
  <c r="U173" i="3" s="1"/>
  <c r="S71" i="3"/>
  <c r="U71" i="3" s="1"/>
  <c r="B207" i="3"/>
  <c r="D207" i="3" s="1"/>
  <c r="AJ190" i="3"/>
  <c r="AL190" i="3" s="1"/>
  <c r="AJ173" i="3"/>
  <c r="AL173" i="3" s="1"/>
  <c r="AJ156" i="3"/>
  <c r="AL156" i="3" s="1"/>
  <c r="AJ139" i="3"/>
  <c r="AL139" i="3" s="1"/>
  <c r="AJ105" i="3"/>
  <c r="AL105" i="3" s="1"/>
  <c r="S122" i="3"/>
  <c r="U122" i="3" s="1"/>
  <c r="B156" i="3"/>
  <c r="D156" i="3" s="1"/>
  <c r="AJ88" i="3"/>
  <c r="AL88" i="3" s="1"/>
  <c r="AJ71" i="3"/>
  <c r="AL71" i="3" s="1"/>
  <c r="AJ54" i="3"/>
  <c r="AL54" i="3" s="1"/>
  <c r="AJ37" i="3"/>
  <c r="AL37" i="3" s="1"/>
  <c r="AJ20" i="3"/>
  <c r="AL20" i="3" s="1"/>
  <c r="S190" i="3"/>
  <c r="U190" i="3" s="1"/>
  <c r="S156" i="3"/>
  <c r="U156" i="3" s="1"/>
  <c r="S54" i="3"/>
  <c r="U54" i="3" s="1"/>
  <c r="S3" i="3"/>
  <c r="U3" i="3" s="1"/>
  <c r="B139" i="3"/>
  <c r="D139" i="3" s="1"/>
  <c r="B20" i="3"/>
  <c r="D20" i="3" s="1"/>
  <c r="AJ3" i="3"/>
  <c r="AL3" i="3" s="1"/>
  <c r="B122" i="3"/>
  <c r="D122" i="3" s="1"/>
  <c r="S139" i="3"/>
  <c r="U139" i="3" s="1"/>
  <c r="S88" i="3"/>
  <c r="U88" i="3" s="1"/>
  <c r="S20" i="3"/>
  <c r="U20" i="3" s="1"/>
  <c r="B190" i="3"/>
  <c r="D190" i="3" s="1"/>
  <c r="B88" i="3"/>
  <c r="D88" i="3" s="1"/>
  <c r="B37" i="3"/>
  <c r="D37" i="3" s="1"/>
  <c r="B8" i="3"/>
  <c r="D8" i="3" s="1"/>
  <c r="B9" i="3"/>
  <c r="D9" i="3" s="1"/>
  <c r="F9" i="3"/>
  <c r="H9" i="3" s="1"/>
  <c r="F8" i="3"/>
  <c r="H8" i="3" s="1"/>
  <c r="B11" i="3"/>
  <c r="D11" i="3" s="1"/>
  <c r="B10" i="3"/>
  <c r="D10" i="3" s="1"/>
  <c r="F11" i="3"/>
  <c r="H11" i="3" s="1"/>
  <c r="F10" i="3"/>
  <c r="H10" i="3" s="1"/>
  <c r="F6" i="3"/>
  <c r="H6" i="3" s="1"/>
  <c r="F4" i="3"/>
  <c r="H4" i="3" s="1"/>
  <c r="N4" i="3"/>
  <c r="P4" i="3" s="1"/>
  <c r="F5" i="3"/>
  <c r="H5" i="3" s="1"/>
  <c r="N5" i="3"/>
  <c r="P5" i="3" s="1"/>
  <c r="B3" i="3"/>
  <c r="D3" i="3" s="1"/>
  <c r="J6" i="3"/>
  <c r="L6" i="3" s="1"/>
  <c r="N6" i="3"/>
  <c r="P6" i="3" s="1"/>
  <c r="F3" i="3"/>
  <c r="H3" i="3" s="1"/>
  <c r="N3" i="3"/>
  <c r="P3" i="3" s="1"/>
  <c r="J5" i="3"/>
  <c r="L5" i="3" s="1"/>
  <c r="J4" i="3"/>
  <c r="L4" i="3" s="1"/>
  <c r="J3" i="3"/>
  <c r="L3" i="3" s="1"/>
  <c r="B5" i="3"/>
  <c r="D5" i="3" s="1"/>
  <c r="B4" i="3"/>
  <c r="D4" i="3" s="1"/>
  <c r="B6" i="3"/>
  <c r="D6" i="3" s="1"/>
  <c r="AE188" i="3" l="1"/>
  <c r="AE1" i="3"/>
  <c r="N52" i="3"/>
  <c r="AE290" i="3"/>
  <c r="AV35" i="3"/>
  <c r="AE171" i="3"/>
  <c r="AE103" i="3"/>
  <c r="N171" i="3"/>
  <c r="AE52" i="3"/>
  <c r="AV1" i="3"/>
  <c r="AE137" i="3"/>
  <c r="AE35" i="3"/>
  <c r="N205" i="3"/>
  <c r="AV341" i="3"/>
  <c r="N341" i="3"/>
  <c r="AV307" i="3"/>
  <c r="N307" i="3"/>
  <c r="AV205" i="3"/>
  <c r="AV188" i="3"/>
  <c r="AV171" i="3"/>
  <c r="AV154" i="3"/>
  <c r="N188" i="3"/>
  <c r="N18" i="3"/>
  <c r="AE307" i="3"/>
  <c r="AV18" i="3"/>
  <c r="AE205" i="3"/>
  <c r="AE154" i="3"/>
  <c r="AE69" i="3"/>
  <c r="AE18" i="3"/>
  <c r="N154" i="3"/>
  <c r="N120" i="3"/>
  <c r="AE341" i="3"/>
  <c r="N324" i="3"/>
  <c r="N290" i="3"/>
  <c r="N69" i="3"/>
  <c r="N222" i="3"/>
  <c r="AV222" i="3"/>
  <c r="AE222" i="3"/>
  <c r="N239" i="3"/>
  <c r="N35" i="3"/>
  <c r="N103" i="3"/>
  <c r="AE239" i="3"/>
  <c r="AV239" i="3"/>
  <c r="N137" i="3"/>
  <c r="AE324" i="3"/>
  <c r="AV290" i="3"/>
  <c r="AE86" i="3"/>
  <c r="AV324" i="3"/>
  <c r="AV137" i="3"/>
  <c r="AV273" i="3"/>
  <c r="AE273" i="3"/>
  <c r="N273" i="3"/>
  <c r="AV256" i="3"/>
  <c r="AE256" i="3"/>
  <c r="N256" i="3"/>
  <c r="N1" i="3"/>
  <c r="N86" i="3"/>
  <c r="AV52" i="3"/>
  <c r="AE120" i="3"/>
  <c r="AV69" i="3"/>
  <c r="AV120" i="3"/>
  <c r="AV103" i="3"/>
  <c r="AV86" i="3"/>
  <c r="C60" i="4" l="1"/>
  <c r="C13" i="4"/>
  <c r="C30" i="4"/>
  <c r="C42" i="4"/>
  <c r="C36" i="4"/>
  <c r="C56" i="4"/>
  <c r="C57" i="4"/>
  <c r="C4" i="4"/>
  <c r="C48" i="4"/>
  <c r="C31" i="4"/>
  <c r="C2" i="4"/>
  <c r="C11" i="4"/>
  <c r="C64" i="4"/>
  <c r="C44" i="4"/>
  <c r="C7" i="4"/>
  <c r="C26" i="4"/>
  <c r="C27" i="4"/>
  <c r="C62" i="4"/>
  <c r="C46" i="4"/>
  <c r="C20" i="4"/>
  <c r="C59" i="4"/>
  <c r="C34" i="4"/>
  <c r="C51" i="4"/>
  <c r="C39" i="4"/>
  <c r="C61" i="4"/>
  <c r="C28" i="4"/>
  <c r="C21" i="4"/>
  <c r="C15" i="4"/>
  <c r="C5" i="4"/>
  <c r="C35" i="4"/>
  <c r="C58" i="4"/>
  <c r="C45" i="4"/>
  <c r="C43" i="4"/>
  <c r="C17" i="4"/>
  <c r="C24" i="4"/>
  <c r="C16" i="4"/>
  <c r="C54" i="4"/>
  <c r="C22" i="4"/>
  <c r="C52" i="4"/>
  <c r="C3" i="4"/>
  <c r="C23" i="4"/>
  <c r="C33" i="4"/>
  <c r="C63" i="4"/>
  <c r="C14" i="4"/>
  <c r="C9" i="4"/>
  <c r="C10" i="4"/>
  <c r="C29" i="4"/>
  <c r="C38" i="4"/>
  <c r="C49" i="4"/>
  <c r="C50" i="4"/>
  <c r="C47" i="4"/>
  <c r="C55" i="4"/>
  <c r="C8" i="4"/>
  <c r="C12" i="4"/>
  <c r="C37" i="4"/>
  <c r="C32" i="4"/>
  <c r="C19" i="4"/>
  <c r="C41" i="4"/>
  <c r="C25" i="4"/>
  <c r="C53" i="4"/>
  <c r="C18" i="4"/>
  <c r="C40" i="4"/>
  <c r="C6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<sst xmlns="http://schemas.openxmlformats.org/spreadsheetml/2006/main" count="6461" uniqueCount="180">
  <si>
    <t>Name:</t>
  </si>
  <si>
    <t>Email:</t>
  </si>
  <si>
    <t>Phone:</t>
  </si>
  <si>
    <t>Group A</t>
  </si>
  <si>
    <t>Odds</t>
  </si>
  <si>
    <t>Rank</t>
  </si>
  <si>
    <t>Group B</t>
  </si>
  <si>
    <t>Group C</t>
  </si>
  <si>
    <t>France</t>
  </si>
  <si>
    <t>Poland</t>
  </si>
  <si>
    <t>England</t>
  </si>
  <si>
    <t>Germany</t>
  </si>
  <si>
    <t>Switzerland</t>
  </si>
  <si>
    <t>Group D</t>
  </si>
  <si>
    <t>Group E</t>
  </si>
  <si>
    <t>Group F</t>
  </si>
  <si>
    <t>Croatia</t>
  </si>
  <si>
    <t>Spain</t>
  </si>
  <si>
    <t>Belgium</t>
  </si>
  <si>
    <t>Portugal</t>
  </si>
  <si>
    <t>Scoring Points</t>
  </si>
  <si>
    <t>Multiplier</t>
  </si>
  <si>
    <t>Win = 5 points</t>
  </si>
  <si>
    <t>Team ranked 1 will receive 3 times the scored points</t>
  </si>
  <si>
    <t>Draw = 3 points (inc. penalty games)</t>
  </si>
  <si>
    <t>Team ranked 2 will receive 2 times the scored points</t>
  </si>
  <si>
    <t>Lose = 0 points</t>
  </si>
  <si>
    <t>Team ranked 3 will receive 1 times the scored points</t>
  </si>
  <si>
    <t>Goals For = 2 points per goal</t>
  </si>
  <si>
    <t>Goals Against = -1 points per goal</t>
  </si>
  <si>
    <t>Yellow Card = -1 point per yellow card</t>
  </si>
  <si>
    <t>Red Card = -5 points per red card</t>
  </si>
  <si>
    <t>Group Winner = 5 points</t>
  </si>
  <si>
    <t>Qualify from Group = 2 points</t>
  </si>
  <si>
    <t>Make Quarter Final = 10 points</t>
  </si>
  <si>
    <t>Make Semi Final = 15 points</t>
  </si>
  <si>
    <t>Make Final = 20 points</t>
  </si>
  <si>
    <t>Win (5)</t>
  </si>
  <si>
    <t>Draw (3)</t>
  </si>
  <si>
    <t>Lose (0)</t>
  </si>
  <si>
    <t>Goals For (2)</t>
  </si>
  <si>
    <t>Goals Against (-1)</t>
  </si>
  <si>
    <t>Yellow Cards (-1)</t>
  </si>
  <si>
    <t>Red Cards (-5)</t>
  </si>
  <si>
    <t>Group Winner (5)</t>
  </si>
  <si>
    <t>Qualify (2)</t>
  </si>
  <si>
    <t>Quarter Final (10)</t>
  </si>
  <si>
    <t>Semi Final (15)</t>
  </si>
  <si>
    <t>Final (20)</t>
  </si>
  <si>
    <t>Points</t>
  </si>
  <si>
    <t>Total:</t>
  </si>
  <si>
    <t>Score</t>
  </si>
  <si>
    <t>Name</t>
  </si>
  <si>
    <t>Total Points</t>
  </si>
  <si>
    <t>Denmark</t>
  </si>
  <si>
    <r>
      <rPr>
        <b/>
        <sz val="22"/>
        <color rgb="FF000000"/>
        <rFont val="Calibri"/>
        <family val="2"/>
      </rPr>
      <t xml:space="preserve">           </t>
    </r>
    <r>
      <rPr>
        <b/>
        <u/>
        <sz val="22"/>
        <color rgb="FF000000"/>
        <rFont val="Calibri"/>
        <family val="2"/>
      </rPr>
      <t>Tipping Comp</t>
    </r>
  </si>
  <si>
    <t>Wales</t>
  </si>
  <si>
    <t>Netherlands</t>
  </si>
  <si>
    <t>Danny Dresner (P)</t>
  </si>
  <si>
    <t>Robbie Baskin (P)</t>
  </si>
  <si>
    <t>Alon Beran (P)</t>
  </si>
  <si>
    <t>Jenna Baskin (P)</t>
  </si>
  <si>
    <t>Liron Rutovitz (P)</t>
  </si>
  <si>
    <t>Josie Rutovitz (P)</t>
  </si>
  <si>
    <t>Gavin Fuchs (P)</t>
  </si>
  <si>
    <t>Qatar</t>
  </si>
  <si>
    <t>Senegal</t>
  </si>
  <si>
    <t>Iran</t>
  </si>
  <si>
    <t>USA</t>
  </si>
  <si>
    <t>Argentina</t>
  </si>
  <si>
    <t>Saudi Arabia</t>
  </si>
  <si>
    <t>Mexico</t>
  </si>
  <si>
    <t>Australia</t>
  </si>
  <si>
    <t>Tunisia</t>
  </si>
  <si>
    <t>Costa Rica</t>
  </si>
  <si>
    <t>Japan</t>
  </si>
  <si>
    <t>Canada</t>
  </si>
  <si>
    <t>Morocco</t>
  </si>
  <si>
    <t>Group G</t>
  </si>
  <si>
    <t>Group H</t>
  </si>
  <si>
    <t>Brazil</t>
  </si>
  <si>
    <t>Cameroon</t>
  </si>
  <si>
    <t>Serbia</t>
  </si>
  <si>
    <t>Ghana</t>
  </si>
  <si>
    <t>Uruguay</t>
  </si>
  <si>
    <t>Korea Rep.</t>
  </si>
  <si>
    <t>Pick one team and rank them with a star (*). This is likely to be the team you believe will win the World Cup.</t>
  </si>
  <si>
    <t xml:space="preserve">Then rank 3 teams in each group from 1 to 3, one group will have rankings for all four teams (with the * included) and the </t>
  </si>
  <si>
    <t>other 7 groups will only have 3 teams ranked. The way you rank will then score accordingly;</t>
  </si>
  <si>
    <t>WC Winner = 30 points</t>
  </si>
  <si>
    <t>Team ranked * will receive 5 times the scored points</t>
  </si>
  <si>
    <t>Ecuador</t>
  </si>
  <si>
    <t>Ivan Dadic (P)</t>
  </si>
  <si>
    <t>Ray Boggiano (P)</t>
  </si>
  <si>
    <t>Clive Baskin (P)</t>
  </si>
  <si>
    <t>WC Winner (30)</t>
  </si>
  <si>
    <t>* Selected</t>
  </si>
  <si>
    <t>Group I</t>
  </si>
  <si>
    <t>Group J</t>
  </si>
  <si>
    <t>Group K</t>
  </si>
  <si>
    <t>Group L</t>
  </si>
  <si>
    <t>South Africa</t>
  </si>
  <si>
    <t>Czechia</t>
  </si>
  <si>
    <t>Bosnia</t>
  </si>
  <si>
    <t>Haiti</t>
  </si>
  <si>
    <t>Scotland</t>
  </si>
  <si>
    <t>Paraguay</t>
  </si>
  <si>
    <t>Turkey</t>
  </si>
  <si>
    <t>Curacao</t>
  </si>
  <si>
    <t>Ivory Coast</t>
  </si>
  <si>
    <t>Sweden</t>
  </si>
  <si>
    <t>Egypt</t>
  </si>
  <si>
    <t>New Zealand</t>
  </si>
  <si>
    <t>Cape Verde</t>
  </si>
  <si>
    <t>Iraq</t>
  </si>
  <si>
    <t>Norway</t>
  </si>
  <si>
    <t>Algeria</t>
  </si>
  <si>
    <t>Austria</t>
  </si>
  <si>
    <t>Jordan</t>
  </si>
  <si>
    <t>Congo</t>
  </si>
  <si>
    <t>Uzebekistan</t>
  </si>
  <si>
    <t>Colombia</t>
  </si>
  <si>
    <t>Panama</t>
  </si>
  <si>
    <t>Sth Africa</t>
  </si>
  <si>
    <t>Korea Rep</t>
  </si>
  <si>
    <t>Lennon Dresner (P)</t>
  </si>
  <si>
    <t>Nash Dresner (P)</t>
  </si>
  <si>
    <t>Kevin Lippy (P)</t>
  </si>
  <si>
    <t>Paul Mooney</t>
  </si>
  <si>
    <t>Michael Orford (P)</t>
  </si>
  <si>
    <t>Rob Wilson</t>
  </si>
  <si>
    <t>Tali Hollis (P)</t>
  </si>
  <si>
    <t>Adam Horwitz (P)</t>
  </si>
  <si>
    <t>Benjamin Powell (P)</t>
  </si>
  <si>
    <t>Ben Maike (P)</t>
  </si>
  <si>
    <t>Max Maike (P)</t>
  </si>
  <si>
    <t>Josh Luff (P)</t>
  </si>
  <si>
    <t>Liam Gerathy (P)</t>
  </si>
  <si>
    <t>Parham Taba (P)</t>
  </si>
  <si>
    <t>Rory Gallagher (P)</t>
  </si>
  <si>
    <t>Barry Cohen (P)</t>
  </si>
  <si>
    <t>Daniel Zamparelli (P)</t>
  </si>
  <si>
    <t>Edward Shmidt (P)</t>
  </si>
  <si>
    <t>Taylor Chauhud (P)</t>
  </si>
  <si>
    <t>Tyler &amp; Mark Hall</t>
  </si>
  <si>
    <t>Ivan Fuchs (P)</t>
  </si>
  <si>
    <t>Laine Poirier (P)</t>
  </si>
  <si>
    <t>David Vince Smith (P)</t>
  </si>
  <si>
    <t>Alexander Riley (P)</t>
  </si>
  <si>
    <t>Marc Cohen (P)</t>
  </si>
  <si>
    <t>Fabian Boldt</t>
  </si>
  <si>
    <t>Ari Segal (P)</t>
  </si>
  <si>
    <t>Eric Co</t>
  </si>
  <si>
    <t>Eric Cohen (P)</t>
  </si>
  <si>
    <t>Teddy Rooks (P)</t>
  </si>
  <si>
    <t>Matthew Bozic (P)</t>
  </si>
  <si>
    <t>Paul Selikman (P)</t>
  </si>
  <si>
    <t>Mitchell James (P)</t>
  </si>
  <si>
    <t>Dan Segal (P)</t>
  </si>
  <si>
    <t>Romi Rutovitz (P)</t>
  </si>
  <si>
    <t>David Hall (P)</t>
  </si>
  <si>
    <t>Carl Seubert (P)</t>
  </si>
  <si>
    <t xml:space="preserve">Luka Obradovic </t>
  </si>
  <si>
    <t>Brett Forer (P)</t>
  </si>
  <si>
    <t>Jeremy Heymann (P)</t>
  </si>
  <si>
    <t>David Cuthbert (P)</t>
  </si>
  <si>
    <t>Jarred Rubin (P)</t>
  </si>
  <si>
    <t>Andrew Ioannides (P)</t>
  </si>
  <si>
    <t>Bryan Resnik (P)</t>
  </si>
  <si>
    <t>Tobias Morgan (P)</t>
  </si>
  <si>
    <t>Sean Eichholz (P)</t>
  </si>
  <si>
    <t>Craig Ring (P)</t>
  </si>
  <si>
    <t>Jason Alman (P)</t>
  </si>
  <si>
    <t>Syrus Wynne</t>
  </si>
  <si>
    <t>Micheal O'Brien (P)</t>
  </si>
  <si>
    <t>Tom Rozehnal (P)</t>
  </si>
  <si>
    <t>Camilla Dresner (P)</t>
  </si>
  <si>
    <t>Sal Quattroville</t>
  </si>
  <si>
    <t>#</t>
  </si>
  <si>
    <t>Rob Lorenc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</si>
</sst>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rgb="FF000000"/>
      <name val="Calibri"/>
    </font>
    <font>
      <b/>
      <u/>
      <sz val="22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22"/>
      <color rgb="FF000000"/>
      <name val="Calibri"/>
      <family val="2"/>
    </font>
    <font>
      <b/>
      <u/>
      <sz val="22"/>
      <color rgb="FF000000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EF2CB"/>
      </patternFill>
    </fill>
    <fill>
      <patternFill patternType="solid">
        <fgColor theme="1"/>
        <b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2" xfId="0" applyBorder="1"/>
    <xf numFmtId="44" fontId="0" fillId="0" borderId="3" xfId="0" applyNumberFormat="1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2" borderId="3" xfId="0" applyFill="1" applyBorder="1"/>
    <xf numFmtId="0" fontId="0" fillId="0" borderId="10" xfId="0" applyBorder="1"/>
    <xf numFmtId="0" fontId="0" fillId="0" borderId="11" xfId="0" applyBorder="1"/>
    <xf numFmtId="0" fontId="0" fillId="3" borderId="1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3" borderId="14" xfId="0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2" borderId="15" xfId="0" applyFill="1" applyBorder="1"/>
    <xf numFmtId="0" fontId="6" fillId="0" borderId="0" xfId="0" applyFont="1"/>
    <xf numFmtId="0" fontId="6" fillId="0" borderId="8" xfId="0" applyFont="1" applyBorder="1"/>
    <xf numFmtId="0" fontId="0" fillId="0" borderId="0" xfId="0" applyAlignment="1">
      <alignment horizontal="center"/>
    </xf>
    <xf numFmtId="0" fontId="0" fillId="0" borderId="19" xfId="0" applyBorder="1"/>
    <xf numFmtId="0" fontId="0" fillId="2" borderId="19" xfId="0" applyFill="1" applyBorder="1"/>
    <xf numFmtId="0" fontId="6" fillId="0" borderId="0" xfId="0" applyFont="1" applyAlignment="1">
      <alignment horizontal="center"/>
    </xf>
    <xf numFmtId="0" fontId="0" fillId="4" borderId="0" xfId="0" applyFill="1"/>
    <xf numFmtId="0" fontId="0" fillId="4" borderId="3" xfId="0" applyFill="1" applyBorder="1"/>
    <xf numFmtId="0" fontId="0" fillId="5" borderId="3" xfId="0" applyFill="1" applyBorder="1"/>
    <xf numFmtId="0" fontId="0" fillId="4" borderId="14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5" xfId="0" applyFill="1" applyBorder="1"/>
    <xf numFmtId="0" fontId="0" fillId="5" borderId="15" xfId="0" applyFill="1" applyBorder="1"/>
    <xf numFmtId="0" fontId="0" fillId="6" borderId="1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3" xfId="0" applyFill="1" applyBorder="1"/>
    <xf numFmtId="0" fontId="0" fillId="6" borderId="14" xfId="0" applyFill="1" applyBorder="1" applyAlignment="1">
      <alignment horizontal="center"/>
    </xf>
    <xf numFmtId="0" fontId="6" fillId="5" borderId="3" xfId="0" applyFont="1" applyFill="1" applyBorder="1"/>
    <xf numFmtId="0" fontId="0" fillId="10" borderId="0" xfId="0" applyFill="1" applyAlignment="1">
      <alignment horizontal="center"/>
    </xf>
    <xf numFmtId="0" fontId="2" fillId="10" borderId="20" xfId="0" applyFont="1" applyFill="1" applyBorder="1" applyAlignment="1">
      <alignment horizontal="center"/>
    </xf>
    <xf numFmtId="0" fontId="2" fillId="7" borderId="20" xfId="0" applyFont="1" applyFill="1" applyBorder="1"/>
    <xf numFmtId="0" fontId="2" fillId="8" borderId="20" xfId="0" applyFont="1" applyFill="1" applyBorder="1"/>
    <xf numFmtId="0" fontId="2" fillId="9" borderId="2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16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4" xfId="0" applyFont="1" applyBorder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2" xfId="0" applyBorder="1" applyAlignment="1">
      <alignment horizontal="center"/>
    </xf>
    <xf numFmtId="0" fontId="3" fillId="0" borderId="5" xfId="0" applyFont="1" applyBorder="1"/>
    <xf numFmtId="0" fontId="6" fillId="2" borderId="11" xfId="0" applyFont="1" applyFill="1" applyBorder="1" applyAlignment="1">
      <alignment horizontal="center"/>
    </xf>
    <xf numFmtId="0" fontId="3" fillId="0" borderId="11" xfId="0" applyFont="1" applyBorder="1"/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6" fillId="5" borderId="11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8"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6"/>
  <sheetViews>
    <sheetView topLeftCell="A7" zoomScaleNormal="100" workbookViewId="0">
      <selection activeCell="L3" sqref="L3"/>
    </sheetView>
  </sheetViews>
  <sheetFormatPr baseColWidth="10" defaultColWidth="15.1640625" defaultRowHeight="15" customHeight="1" x14ac:dyDescent="0.2"/>
  <cols>
    <col min="1" max="1" width="13.1640625" customWidth="1"/>
    <col min="2" max="2" width="9.5" customWidth="1"/>
    <col min="3" max="3" width="7.6640625" customWidth="1"/>
    <col min="4" max="4" width="11.6640625" bestFit="1" customWidth="1"/>
    <col min="5" max="5" width="8.6640625" customWidth="1"/>
    <col min="6" max="6" width="7.6640625" customWidth="1"/>
    <col min="7" max="7" width="13.6640625" bestFit="1" customWidth="1"/>
    <col min="8" max="8" width="8.83203125" customWidth="1"/>
    <col min="9" max="9" width="7.6640625" customWidth="1"/>
    <col min="10" max="10" width="9.6640625" bestFit="1" customWidth="1"/>
    <col min="11" max="11" width="9" customWidth="1"/>
    <col min="12" max="26" width="7.6640625" customWidth="1"/>
  </cols>
  <sheetData>
    <row r="1" spans="1:10" ht="132" customHeight="1" x14ac:dyDescent="0.2">
      <c r="A1" s="45" t="e" vm="1">
        <v>#VALUE!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25.5" customHeight="1" x14ac:dyDescent="0.35">
      <c r="B2" s="49" t="s">
        <v>55</v>
      </c>
      <c r="C2" s="50"/>
      <c r="D2" s="50"/>
      <c r="E2" s="50"/>
      <c r="F2" s="50"/>
      <c r="G2" s="50"/>
      <c r="H2" s="50"/>
    </row>
    <row r="3" spans="1:10" ht="44.25" customHeight="1" x14ac:dyDescent="0.2"/>
    <row r="4" spans="1:10" ht="13.5" customHeight="1" x14ac:dyDescent="0.2">
      <c r="A4" t="s">
        <v>0</v>
      </c>
      <c r="B4" s="1"/>
      <c r="C4" s="1"/>
      <c r="D4" s="1"/>
      <c r="E4" s="1"/>
      <c r="F4" s="1"/>
      <c r="G4" s="1"/>
      <c r="H4" s="1"/>
    </row>
    <row r="5" spans="1:10" ht="13.5" customHeight="1" x14ac:dyDescent="0.2"/>
    <row r="6" spans="1:10" ht="13.5" customHeight="1" x14ac:dyDescent="0.2">
      <c r="A6" t="s">
        <v>1</v>
      </c>
      <c r="B6" s="1"/>
      <c r="C6" s="1"/>
      <c r="D6" s="1"/>
      <c r="F6" t="s">
        <v>2</v>
      </c>
      <c r="G6" s="1"/>
      <c r="H6" s="1"/>
    </row>
    <row r="7" spans="1:10" ht="42.75" customHeight="1" x14ac:dyDescent="0.2"/>
    <row r="8" spans="1:10" ht="13.5" customHeight="1" x14ac:dyDescent="0.2">
      <c r="A8" s="2" t="s">
        <v>3</v>
      </c>
      <c r="B8" s="3" t="s">
        <v>4</v>
      </c>
      <c r="C8" s="3" t="s">
        <v>5</v>
      </c>
      <c r="D8" s="2" t="s">
        <v>6</v>
      </c>
      <c r="E8" s="3" t="s">
        <v>4</v>
      </c>
      <c r="F8" s="3" t="s">
        <v>5</v>
      </c>
      <c r="G8" s="2" t="s">
        <v>7</v>
      </c>
      <c r="H8" s="3" t="s">
        <v>4</v>
      </c>
      <c r="I8" s="3" t="s">
        <v>5</v>
      </c>
    </row>
    <row r="9" spans="1:10" ht="13.5" customHeight="1" x14ac:dyDescent="0.2">
      <c r="A9" s="3" t="s">
        <v>65</v>
      </c>
      <c r="B9" s="5">
        <v>251</v>
      </c>
      <c r="C9" s="3"/>
      <c r="D9" s="3" t="s">
        <v>10</v>
      </c>
      <c r="E9" s="5">
        <v>7.5</v>
      </c>
      <c r="F9" s="3"/>
      <c r="G9" s="3" t="s">
        <v>69</v>
      </c>
      <c r="H9" s="5">
        <v>7.5</v>
      </c>
      <c r="I9" s="3"/>
    </row>
    <row r="10" spans="1:10" ht="13.5" customHeight="1" x14ac:dyDescent="0.2">
      <c r="A10" s="3" t="s">
        <v>91</v>
      </c>
      <c r="B10" s="5">
        <v>151</v>
      </c>
      <c r="C10" s="3"/>
      <c r="D10" s="3" t="s">
        <v>67</v>
      </c>
      <c r="E10" s="5">
        <v>501</v>
      </c>
      <c r="F10" s="3"/>
      <c r="G10" s="3" t="s">
        <v>70</v>
      </c>
      <c r="H10" s="5">
        <v>501</v>
      </c>
      <c r="I10" s="3"/>
    </row>
    <row r="11" spans="1:10" ht="13.5" customHeight="1" x14ac:dyDescent="0.2">
      <c r="A11" s="3" t="s">
        <v>66</v>
      </c>
      <c r="B11" s="5">
        <v>91</v>
      </c>
      <c r="C11" s="3"/>
      <c r="D11" s="3" t="s">
        <v>68</v>
      </c>
      <c r="E11" s="5">
        <v>101</v>
      </c>
      <c r="F11" s="3"/>
      <c r="G11" s="3" t="s">
        <v>71</v>
      </c>
      <c r="H11" s="5">
        <v>101</v>
      </c>
      <c r="I11" s="3"/>
    </row>
    <row r="12" spans="1:10" ht="13.5" customHeight="1" x14ac:dyDescent="0.2">
      <c r="A12" s="3" t="s">
        <v>57</v>
      </c>
      <c r="B12" s="5">
        <v>13</v>
      </c>
      <c r="C12" s="3"/>
      <c r="D12" s="3" t="s">
        <v>56</v>
      </c>
      <c r="E12" s="5">
        <v>151</v>
      </c>
      <c r="F12" s="3"/>
      <c r="G12" s="3" t="s">
        <v>9</v>
      </c>
      <c r="H12" s="5">
        <v>126</v>
      </c>
      <c r="I12" s="3"/>
    </row>
    <row r="13" spans="1:10" ht="13.5" customHeight="1" x14ac:dyDescent="0.2"/>
    <row r="14" spans="1:10" ht="13.5" customHeight="1" x14ac:dyDescent="0.2">
      <c r="A14" s="2" t="s">
        <v>13</v>
      </c>
      <c r="B14" s="3" t="s">
        <v>4</v>
      </c>
      <c r="C14" s="3" t="s">
        <v>5</v>
      </c>
      <c r="D14" s="2" t="s">
        <v>14</v>
      </c>
      <c r="E14" s="3" t="s">
        <v>4</v>
      </c>
      <c r="F14" s="3" t="s">
        <v>5</v>
      </c>
      <c r="G14" s="2" t="s">
        <v>15</v>
      </c>
      <c r="H14" s="3" t="s">
        <v>4</v>
      </c>
      <c r="I14" s="3" t="s">
        <v>5</v>
      </c>
    </row>
    <row r="15" spans="1:10" ht="13.5" customHeight="1" x14ac:dyDescent="0.2">
      <c r="A15" s="3" t="s">
        <v>8</v>
      </c>
      <c r="B15" s="5">
        <v>6.5</v>
      </c>
      <c r="C15" s="3"/>
      <c r="D15" s="3" t="s">
        <v>17</v>
      </c>
      <c r="E15" s="5">
        <v>8.5</v>
      </c>
      <c r="F15" s="3"/>
      <c r="G15" s="3" t="s">
        <v>18</v>
      </c>
      <c r="H15" s="5">
        <v>12</v>
      </c>
      <c r="I15" s="3"/>
    </row>
    <row r="16" spans="1:10" ht="13.5" customHeight="1" x14ac:dyDescent="0.2">
      <c r="A16" s="3" t="s">
        <v>72</v>
      </c>
      <c r="B16" s="5">
        <v>251</v>
      </c>
      <c r="C16" s="3"/>
      <c r="D16" s="3" t="s">
        <v>74</v>
      </c>
      <c r="E16" s="5">
        <v>501</v>
      </c>
      <c r="F16" s="3"/>
      <c r="G16" s="3" t="s">
        <v>76</v>
      </c>
      <c r="H16" s="5">
        <v>201</v>
      </c>
      <c r="I16" s="3"/>
    </row>
    <row r="17" spans="1:10" ht="13.5" customHeight="1" x14ac:dyDescent="0.2">
      <c r="A17" s="3" t="s">
        <v>54</v>
      </c>
      <c r="B17" s="5">
        <v>31</v>
      </c>
      <c r="C17" s="3"/>
      <c r="D17" s="3" t="s">
        <v>11</v>
      </c>
      <c r="E17" s="5">
        <v>10</v>
      </c>
      <c r="F17" s="3"/>
      <c r="G17" s="3" t="s">
        <v>77</v>
      </c>
      <c r="H17" s="5">
        <v>201</v>
      </c>
      <c r="I17" s="3"/>
    </row>
    <row r="18" spans="1:10" ht="13.5" customHeight="1" x14ac:dyDescent="0.2">
      <c r="A18" s="3" t="s">
        <v>73</v>
      </c>
      <c r="B18" s="5">
        <v>426</v>
      </c>
      <c r="C18" s="3"/>
      <c r="D18" s="3" t="s">
        <v>75</v>
      </c>
      <c r="E18" s="5">
        <v>251</v>
      </c>
      <c r="F18" s="3"/>
      <c r="G18" s="3" t="s">
        <v>16</v>
      </c>
      <c r="H18" s="5">
        <v>46</v>
      </c>
      <c r="I18" s="3"/>
    </row>
    <row r="19" spans="1:10" ht="13.5" customHeight="1" x14ac:dyDescent="0.2"/>
    <row r="20" spans="1:10" ht="13.5" customHeight="1" x14ac:dyDescent="0.2">
      <c r="A20" s="2" t="s">
        <v>78</v>
      </c>
      <c r="B20" s="3" t="s">
        <v>4</v>
      </c>
      <c r="C20" s="3" t="s">
        <v>5</v>
      </c>
      <c r="D20" s="2" t="s">
        <v>79</v>
      </c>
      <c r="E20" s="3" t="s">
        <v>4</v>
      </c>
      <c r="F20" s="3" t="s">
        <v>5</v>
      </c>
    </row>
    <row r="21" spans="1:10" ht="13.5" customHeight="1" x14ac:dyDescent="0.2">
      <c r="A21" s="3" t="s">
        <v>80</v>
      </c>
      <c r="B21" s="5">
        <v>5</v>
      </c>
      <c r="C21" s="3"/>
      <c r="D21" s="3" t="s">
        <v>19</v>
      </c>
      <c r="E21" s="5">
        <v>13</v>
      </c>
      <c r="F21" s="3"/>
    </row>
    <row r="22" spans="1:10" ht="13.5" customHeight="1" x14ac:dyDescent="0.2">
      <c r="A22" s="3" t="s">
        <v>12</v>
      </c>
      <c r="B22" s="5">
        <v>81</v>
      </c>
      <c r="C22" s="3"/>
      <c r="D22" s="3" t="s">
        <v>83</v>
      </c>
      <c r="E22" s="5">
        <v>251</v>
      </c>
      <c r="F22" s="3"/>
    </row>
    <row r="23" spans="1:10" ht="13.5" customHeight="1" x14ac:dyDescent="0.2">
      <c r="A23" s="3" t="s">
        <v>82</v>
      </c>
      <c r="B23" s="5">
        <v>101</v>
      </c>
      <c r="C23" s="3"/>
      <c r="D23" s="3" t="s">
        <v>84</v>
      </c>
      <c r="E23" s="5">
        <v>46</v>
      </c>
      <c r="F23" s="3"/>
    </row>
    <row r="24" spans="1:10" ht="13.5" customHeight="1" x14ac:dyDescent="0.2">
      <c r="A24" s="3" t="s">
        <v>81</v>
      </c>
      <c r="B24" s="5">
        <v>251</v>
      </c>
      <c r="C24" s="3"/>
      <c r="D24" s="3" t="s">
        <v>85</v>
      </c>
      <c r="E24" s="5">
        <v>251</v>
      </c>
      <c r="F24" s="3"/>
    </row>
    <row r="25" spans="1:10" ht="36.75" customHeight="1" x14ac:dyDescent="0.2"/>
    <row r="26" spans="1:10" ht="13.5" customHeight="1" x14ac:dyDescent="0.2">
      <c r="A26" s="21" t="s">
        <v>86</v>
      </c>
    </row>
    <row r="27" spans="1:10" ht="13.5" customHeight="1" x14ac:dyDescent="0.2">
      <c r="A27" t="s">
        <v>87</v>
      </c>
    </row>
    <row r="28" spans="1:10" ht="13.5" customHeight="1" x14ac:dyDescent="0.2">
      <c r="A28" s="21" t="s">
        <v>88</v>
      </c>
    </row>
    <row r="29" spans="1:10" ht="28.5" customHeight="1" x14ac:dyDescent="0.2"/>
    <row r="30" spans="1:10" ht="13.5" customHeight="1" x14ac:dyDescent="0.2">
      <c r="A30" s="51" t="s">
        <v>20</v>
      </c>
      <c r="B30" s="52"/>
      <c r="C30" s="52"/>
      <c r="D30" s="52"/>
      <c r="E30" s="53" t="s">
        <v>21</v>
      </c>
      <c r="F30" s="54"/>
      <c r="G30" s="54"/>
      <c r="H30" s="54"/>
      <c r="I30" s="54"/>
      <c r="J30" s="55"/>
    </row>
    <row r="31" spans="1:10" ht="13.5" customHeight="1" x14ac:dyDescent="0.2">
      <c r="A31" s="6" t="s">
        <v>22</v>
      </c>
      <c r="E31" s="56" t="s">
        <v>23</v>
      </c>
      <c r="F31" s="47"/>
      <c r="G31" s="47"/>
      <c r="H31" s="47"/>
      <c r="I31" s="47"/>
      <c r="J31" s="48"/>
    </row>
    <row r="32" spans="1:10" ht="13.5" customHeight="1" x14ac:dyDescent="0.2">
      <c r="A32" s="4" t="s">
        <v>24</v>
      </c>
      <c r="B32" s="8"/>
      <c r="C32" s="8"/>
      <c r="D32" s="8"/>
      <c r="E32" s="56" t="s">
        <v>25</v>
      </c>
      <c r="F32" s="47"/>
      <c r="G32" s="47"/>
      <c r="H32" s="47"/>
      <c r="I32" s="47"/>
      <c r="J32" s="48"/>
    </row>
    <row r="33" spans="1:10" ht="13.5" customHeight="1" x14ac:dyDescent="0.2">
      <c r="A33" s="4" t="s">
        <v>26</v>
      </c>
      <c r="B33" s="8"/>
      <c r="C33" s="8"/>
      <c r="D33" s="8"/>
      <c r="E33" s="56" t="s">
        <v>27</v>
      </c>
      <c r="F33" s="47"/>
      <c r="G33" s="47"/>
      <c r="H33" s="47"/>
      <c r="I33" s="47"/>
      <c r="J33" s="48"/>
    </row>
    <row r="34" spans="1:10" ht="13.5" customHeight="1" x14ac:dyDescent="0.2">
      <c r="A34" s="4" t="s">
        <v>28</v>
      </c>
      <c r="B34" s="8"/>
      <c r="C34" s="8"/>
      <c r="D34" s="8"/>
      <c r="E34" s="46" t="s">
        <v>90</v>
      </c>
      <c r="F34" s="47"/>
      <c r="G34" s="47"/>
      <c r="H34" s="47"/>
      <c r="I34" s="47"/>
      <c r="J34" s="48"/>
    </row>
    <row r="35" spans="1:10" ht="13.5" customHeight="1" x14ac:dyDescent="0.2">
      <c r="A35" s="6" t="s">
        <v>29</v>
      </c>
      <c r="D35" s="7"/>
    </row>
    <row r="36" spans="1:10" ht="13.5" customHeight="1" x14ac:dyDescent="0.2">
      <c r="A36" s="4" t="s">
        <v>30</v>
      </c>
      <c r="B36" s="8"/>
      <c r="C36" s="8"/>
      <c r="D36" s="9"/>
    </row>
    <row r="37" spans="1:10" ht="13.5" customHeight="1" x14ac:dyDescent="0.2">
      <c r="A37" s="6" t="s">
        <v>31</v>
      </c>
      <c r="D37" s="7"/>
    </row>
    <row r="38" spans="1:10" ht="13.5" customHeight="1" x14ac:dyDescent="0.2">
      <c r="A38" s="4" t="s">
        <v>32</v>
      </c>
      <c r="B38" s="8"/>
      <c r="C38" s="8"/>
      <c r="D38" s="9"/>
    </row>
    <row r="39" spans="1:10" ht="13.5" customHeight="1" x14ac:dyDescent="0.2">
      <c r="A39" s="6" t="s">
        <v>33</v>
      </c>
      <c r="D39" s="7"/>
    </row>
    <row r="40" spans="1:10" ht="13.5" customHeight="1" x14ac:dyDescent="0.2">
      <c r="A40" s="4" t="s">
        <v>34</v>
      </c>
      <c r="B40" s="8"/>
      <c r="C40" s="8"/>
      <c r="D40" s="9"/>
    </row>
    <row r="41" spans="1:10" ht="13.5" customHeight="1" x14ac:dyDescent="0.2">
      <c r="A41" s="6" t="s">
        <v>35</v>
      </c>
      <c r="D41" s="7"/>
    </row>
    <row r="42" spans="1:10" ht="13.5" customHeight="1" x14ac:dyDescent="0.2">
      <c r="A42" s="4" t="s">
        <v>36</v>
      </c>
      <c r="B42" s="8"/>
      <c r="C42" s="8"/>
      <c r="D42" s="9"/>
    </row>
    <row r="43" spans="1:10" ht="13.5" customHeight="1" x14ac:dyDescent="0.2">
      <c r="A43" s="22" t="s">
        <v>89</v>
      </c>
      <c r="B43" s="1"/>
      <c r="C43" s="1"/>
      <c r="D43" s="10"/>
    </row>
    <row r="44" spans="1:10" ht="13.5" customHeight="1" x14ac:dyDescent="0.2"/>
    <row r="45" spans="1:10" ht="13.5" customHeight="1" x14ac:dyDescent="0.2"/>
    <row r="46" spans="1:10" ht="13.5" customHeight="1" x14ac:dyDescent="0.2"/>
    <row r="47" spans="1:10" ht="13.5" customHeight="1" x14ac:dyDescent="0.2"/>
    <row r="48" spans="1:10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  <row r="1001" ht="13.5" customHeight="1" x14ac:dyDescent="0.2"/>
    <row r="1002" ht="13.5" customHeight="1" x14ac:dyDescent="0.2"/>
    <row r="1003" ht="13.5" customHeight="1" x14ac:dyDescent="0.2"/>
    <row r="1004" ht="13.5" customHeight="1" x14ac:dyDescent="0.2"/>
    <row r="1005" ht="13.5" customHeight="1" x14ac:dyDescent="0.2"/>
    <row r="1006" ht="13.5" customHeight="1" x14ac:dyDescent="0.2"/>
  </sheetData>
  <mergeCells count="8">
    <mergeCell ref="A1:J1"/>
    <mergeCell ref="E34:J34"/>
    <mergeCell ref="B2:H2"/>
    <mergeCell ref="A30:D30"/>
    <mergeCell ref="E30:J30"/>
    <mergeCell ref="E31:J31"/>
    <mergeCell ref="E32:J32"/>
    <mergeCell ref="E33:J33"/>
  </mergeCells>
  <pageMargins left="0.7" right="0.7" top="0.75" bottom="0.75" header="0.3" footer="0.3"/>
  <pageSetup paperSize="9" scale="69" orientation="portrait" r:id="rId1"/>
  <headerFooter>
    <oddFooter>&amp;L_x000D_&amp;1#&amp;"Aptos"&amp;10&amp;K000000 Classification: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88"/>
  <sheetViews>
    <sheetView zoomScale="110" zoomScaleNormal="110" workbookViewId="0">
      <pane ySplit="1" topLeftCell="A4" activePane="bottomLeft" state="frozen"/>
      <selection pane="bottomLeft" activeCell="C60" sqref="C60"/>
    </sheetView>
  </sheetViews>
  <sheetFormatPr baseColWidth="10" defaultColWidth="15.1640625" defaultRowHeight="15" customHeight="1" x14ac:dyDescent="0.2"/>
  <cols>
    <col min="1" max="1" width="12.5" bestFit="1" customWidth="1"/>
    <col min="2" max="2" width="7.5" bestFit="1" customWidth="1"/>
    <col min="3" max="3" width="8.5" bestFit="1" customWidth="1"/>
    <col min="4" max="4" width="7.83203125" bestFit="1" customWidth="1"/>
    <col min="5" max="5" width="12" bestFit="1" customWidth="1"/>
    <col min="6" max="6" width="16.5" bestFit="1" customWidth="1"/>
    <col min="7" max="7" width="16" bestFit="1" customWidth="1"/>
    <col min="8" max="8" width="13.5" bestFit="1" customWidth="1"/>
    <col min="9" max="9" width="16.5" bestFit="1" customWidth="1"/>
    <col min="10" max="10" width="10.33203125" bestFit="1" customWidth="1"/>
    <col min="11" max="11" width="16.5" bestFit="1" customWidth="1"/>
    <col min="12" max="12" width="14.1640625" bestFit="1" customWidth="1"/>
    <col min="13" max="13" width="9.1640625" bestFit="1" customWidth="1"/>
    <col min="14" max="14" width="16" bestFit="1" customWidth="1"/>
    <col min="15" max="15" width="6.5" bestFit="1" customWidth="1"/>
    <col min="16" max="26" width="7.6640625" customWidth="1"/>
  </cols>
  <sheetData>
    <row r="1" spans="1:15" ht="18" customHeight="1" x14ac:dyDescent="0.2">
      <c r="A1" s="3"/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95</v>
      </c>
      <c r="O1" s="3" t="s">
        <v>49</v>
      </c>
    </row>
    <row r="2" spans="1:15" ht="13.5" customHeight="1" x14ac:dyDescent="0.2">
      <c r="A2" s="57" t="s">
        <v>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8"/>
    </row>
    <row r="3" spans="1:15" ht="13.5" customHeight="1" x14ac:dyDescent="0.2">
      <c r="A3" s="3" t="s">
        <v>71</v>
      </c>
      <c r="B3" s="11">
        <v>1</v>
      </c>
      <c r="C3" s="11"/>
      <c r="D3" s="11"/>
      <c r="E3" s="11">
        <v>2</v>
      </c>
      <c r="F3" s="11"/>
      <c r="G3" s="11">
        <v>1</v>
      </c>
      <c r="H3" s="11">
        <v>1</v>
      </c>
      <c r="I3" s="11"/>
      <c r="J3" s="11"/>
      <c r="K3" s="11"/>
      <c r="L3" s="11"/>
      <c r="M3" s="11"/>
      <c r="N3" s="11"/>
      <c r="O3" s="3">
        <f t="shared" ref="O3:O6" si="0">(B3*5)+(C3*3)+(D3*0)+(E3*2)+(F3*-1)+(G3*-1)+(H3*-5)+(I3*5)+(J3*2)+(K3*10)+(L3*15)+(M3*20)+(N3*30)</f>
        <v>3</v>
      </c>
    </row>
    <row r="4" spans="1:15" ht="13.5" customHeight="1" x14ac:dyDescent="0.2">
      <c r="A4" s="3" t="s">
        <v>101</v>
      </c>
      <c r="B4" s="11"/>
      <c r="C4" s="11"/>
      <c r="D4" s="11">
        <v>1</v>
      </c>
      <c r="E4" s="11"/>
      <c r="F4" s="11">
        <v>2</v>
      </c>
      <c r="G4" s="11">
        <v>2</v>
      </c>
      <c r="H4" s="11">
        <v>2</v>
      </c>
      <c r="I4" s="11"/>
      <c r="J4" s="11"/>
      <c r="K4" s="11"/>
      <c r="L4" s="11"/>
      <c r="M4" s="11"/>
      <c r="N4" s="11"/>
      <c r="O4" s="3">
        <f t="shared" si="0"/>
        <v>-14</v>
      </c>
    </row>
    <row r="5" spans="1:15" ht="13.5" customHeight="1" x14ac:dyDescent="0.2">
      <c r="A5" s="3" t="s">
        <v>85</v>
      </c>
      <c r="B5" s="11">
        <v>1</v>
      </c>
      <c r="C5" s="11"/>
      <c r="D5" s="11"/>
      <c r="E5" s="11">
        <v>2</v>
      </c>
      <c r="F5" s="11">
        <v>1</v>
      </c>
      <c r="G5" s="11">
        <v>1</v>
      </c>
      <c r="H5" s="11"/>
      <c r="I5" s="11"/>
      <c r="J5" s="11"/>
      <c r="K5" s="11"/>
      <c r="L5" s="11"/>
      <c r="M5" s="11"/>
      <c r="N5" s="11"/>
      <c r="O5" s="3">
        <f t="shared" si="0"/>
        <v>7</v>
      </c>
    </row>
    <row r="6" spans="1:15" ht="13.5" customHeight="1" x14ac:dyDescent="0.2">
      <c r="A6" s="3" t="s">
        <v>102</v>
      </c>
      <c r="B6" s="11"/>
      <c r="C6" s="11"/>
      <c r="D6" s="11">
        <v>1</v>
      </c>
      <c r="E6" s="11">
        <v>1</v>
      </c>
      <c r="F6" s="11">
        <v>2</v>
      </c>
      <c r="G6" s="11"/>
      <c r="H6" s="11"/>
      <c r="I6" s="11"/>
      <c r="J6" s="11"/>
      <c r="K6" s="11"/>
      <c r="L6" s="11"/>
      <c r="M6" s="11"/>
      <c r="N6" s="11"/>
      <c r="O6" s="3">
        <f t="shared" si="0"/>
        <v>0</v>
      </c>
    </row>
    <row r="7" spans="1:15" ht="13.5" customHeight="1" x14ac:dyDescent="0.2">
      <c r="A7" s="57" t="s">
        <v>6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8"/>
    </row>
    <row r="8" spans="1:15" ht="13.5" customHeight="1" x14ac:dyDescent="0.2">
      <c r="A8" s="3" t="s">
        <v>76</v>
      </c>
      <c r="B8" s="11"/>
      <c r="C8" s="11">
        <v>1</v>
      </c>
      <c r="D8" s="11"/>
      <c r="E8" s="11">
        <v>1</v>
      </c>
      <c r="F8" s="11">
        <v>1</v>
      </c>
      <c r="G8" s="11">
        <v>2</v>
      </c>
      <c r="H8" s="11"/>
      <c r="I8" s="11"/>
      <c r="J8" s="11"/>
      <c r="K8" s="11"/>
      <c r="L8" s="11"/>
      <c r="M8" s="11"/>
      <c r="N8" s="11"/>
      <c r="O8" s="3">
        <f t="shared" ref="O8:O11" si="1">(B8*5)+(C8*3)+(D8*0)+(E8*2)+(F8*-1)+(G8*-1)+(H8*-5)+(I8*5)+(J8*2)+(K8*10)+(L8*15)+(M8*20)+(N8*30)</f>
        <v>2</v>
      </c>
    </row>
    <row r="9" spans="1:15" ht="13.5" customHeight="1" x14ac:dyDescent="0.2">
      <c r="A9" s="3" t="s">
        <v>103</v>
      </c>
      <c r="B9" s="11"/>
      <c r="C9" s="11">
        <v>1</v>
      </c>
      <c r="D9" s="11"/>
      <c r="E9" s="11">
        <v>1</v>
      </c>
      <c r="F9" s="11">
        <v>1</v>
      </c>
      <c r="G9" s="11">
        <v>3</v>
      </c>
      <c r="H9" s="11"/>
      <c r="I9" s="11"/>
      <c r="J9" s="11"/>
      <c r="K9" s="11"/>
      <c r="L9" s="11"/>
      <c r="M9" s="11"/>
      <c r="N9" s="11"/>
      <c r="O9" s="3">
        <f t="shared" si="1"/>
        <v>1</v>
      </c>
    </row>
    <row r="10" spans="1:15" ht="13.5" customHeight="1" x14ac:dyDescent="0.2">
      <c r="A10" s="3" t="s">
        <v>65</v>
      </c>
      <c r="B10" s="11"/>
      <c r="C10" s="11">
        <v>1</v>
      </c>
      <c r="D10" s="11"/>
      <c r="E10" s="11">
        <v>1</v>
      </c>
      <c r="F10" s="11">
        <v>1</v>
      </c>
      <c r="G10" s="11">
        <v>2</v>
      </c>
      <c r="H10" s="11"/>
      <c r="I10" s="11"/>
      <c r="J10" s="11"/>
      <c r="K10" s="11"/>
      <c r="L10" s="11"/>
      <c r="M10" s="11"/>
      <c r="N10" s="11"/>
      <c r="O10" s="3">
        <f t="shared" si="1"/>
        <v>2</v>
      </c>
    </row>
    <row r="11" spans="1:15" ht="13.5" customHeight="1" x14ac:dyDescent="0.2">
      <c r="A11" s="3" t="s">
        <v>12</v>
      </c>
      <c r="B11" s="11"/>
      <c r="C11" s="11">
        <v>1</v>
      </c>
      <c r="D11" s="11"/>
      <c r="E11" s="11">
        <v>1</v>
      </c>
      <c r="F11" s="11">
        <v>1</v>
      </c>
      <c r="G11" s="11">
        <v>1</v>
      </c>
      <c r="H11" s="11"/>
      <c r="I11" s="11"/>
      <c r="J11" s="11"/>
      <c r="K11" s="11"/>
      <c r="L11" s="11"/>
      <c r="M11" s="11"/>
      <c r="N11" s="11"/>
      <c r="O11" s="3">
        <f t="shared" si="1"/>
        <v>3</v>
      </c>
    </row>
    <row r="12" spans="1:15" ht="13.5" customHeight="1" x14ac:dyDescent="0.2">
      <c r="A12" s="57" t="s">
        <v>7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8"/>
    </row>
    <row r="13" spans="1:15" ht="13.5" customHeight="1" x14ac:dyDescent="0.2">
      <c r="A13" s="3" t="s">
        <v>80</v>
      </c>
      <c r="B13" s="11"/>
      <c r="C13" s="11">
        <v>1</v>
      </c>
      <c r="D13" s="11"/>
      <c r="E13" s="11">
        <v>1</v>
      </c>
      <c r="F13" s="11">
        <v>1</v>
      </c>
      <c r="G13" s="11">
        <v>2</v>
      </c>
      <c r="H13" s="11"/>
      <c r="I13" s="11"/>
      <c r="J13" s="11"/>
      <c r="K13" s="11"/>
      <c r="L13" s="11"/>
      <c r="M13" s="11"/>
      <c r="N13" s="11"/>
      <c r="O13" s="3">
        <f t="shared" ref="O13:O16" si="2">(B13*5)+(C13*3)+(D13*0)+(E13*2)+(F13*-1)+(G13*-1)+(H13*-5)+(I13*5)+(J13*2)+(K13*10)+(L13*15)+(M13*20)+(N13*30)</f>
        <v>2</v>
      </c>
    </row>
    <row r="14" spans="1:15" ht="13.5" customHeight="1" x14ac:dyDescent="0.2">
      <c r="A14" s="3" t="s">
        <v>77</v>
      </c>
      <c r="B14" s="11"/>
      <c r="C14" s="11">
        <v>1</v>
      </c>
      <c r="D14" s="11"/>
      <c r="E14" s="11">
        <v>1</v>
      </c>
      <c r="F14" s="11">
        <v>1</v>
      </c>
      <c r="G14" s="11"/>
      <c r="H14" s="11"/>
      <c r="I14" s="11"/>
      <c r="J14" s="11"/>
      <c r="K14" s="11"/>
      <c r="L14" s="11"/>
      <c r="M14" s="11"/>
      <c r="N14" s="11"/>
      <c r="O14" s="3">
        <f t="shared" si="2"/>
        <v>4</v>
      </c>
    </row>
    <row r="15" spans="1:15" ht="13.5" customHeight="1" x14ac:dyDescent="0.2">
      <c r="A15" s="3" t="s">
        <v>104</v>
      </c>
      <c r="B15" s="11"/>
      <c r="C15" s="11"/>
      <c r="D15" s="11">
        <v>1</v>
      </c>
      <c r="E15" s="11"/>
      <c r="F15" s="11">
        <v>1</v>
      </c>
      <c r="G15" s="11">
        <v>1</v>
      </c>
      <c r="H15" s="11"/>
      <c r="I15" s="11"/>
      <c r="J15" s="11"/>
      <c r="K15" s="11"/>
      <c r="L15" s="11"/>
      <c r="M15" s="11"/>
      <c r="N15" s="11"/>
      <c r="O15" s="3">
        <f t="shared" si="2"/>
        <v>-2</v>
      </c>
    </row>
    <row r="16" spans="1:15" ht="13.5" customHeight="1" x14ac:dyDescent="0.2">
      <c r="A16" s="3" t="s">
        <v>105</v>
      </c>
      <c r="B16" s="11">
        <v>1</v>
      </c>
      <c r="C16" s="11"/>
      <c r="D16" s="11"/>
      <c r="E16" s="11">
        <v>1</v>
      </c>
      <c r="F16" s="11"/>
      <c r="G16" s="11">
        <v>3</v>
      </c>
      <c r="H16" s="11"/>
      <c r="I16" s="11"/>
      <c r="J16" s="11"/>
      <c r="K16" s="11"/>
      <c r="L16" s="11"/>
      <c r="M16" s="11"/>
      <c r="N16" s="11"/>
      <c r="O16" s="3">
        <f t="shared" si="2"/>
        <v>4</v>
      </c>
    </row>
    <row r="17" spans="1:15" ht="13.5" customHeight="1" x14ac:dyDescent="0.2">
      <c r="A17" s="57" t="s">
        <v>13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8"/>
    </row>
    <row r="18" spans="1:15" ht="13.5" customHeight="1" x14ac:dyDescent="0.2">
      <c r="A18" s="3" t="s">
        <v>68</v>
      </c>
      <c r="B18" s="11">
        <v>1</v>
      </c>
      <c r="C18" s="11"/>
      <c r="D18" s="11"/>
      <c r="E18" s="11">
        <v>4</v>
      </c>
      <c r="F18" s="11">
        <v>1</v>
      </c>
      <c r="G18" s="11">
        <v>1</v>
      </c>
      <c r="H18" s="11"/>
      <c r="I18" s="11"/>
      <c r="J18" s="11"/>
      <c r="K18" s="11"/>
      <c r="L18" s="11"/>
      <c r="M18" s="11"/>
      <c r="N18" s="11"/>
      <c r="O18" s="3">
        <f t="shared" ref="O18:O21" si="3">(B18*5)+(C18*3)+(D18*0)+(E18*2)+(F18*-1)+(G18*-1)+(H18*-5)+(I18*5)+(J18*2)+(K18*10)+(L18*15)+(M18*20)+(N18*30)</f>
        <v>11</v>
      </c>
    </row>
    <row r="19" spans="1:15" ht="13.5" customHeight="1" x14ac:dyDescent="0.2">
      <c r="A19" s="3" t="s">
        <v>106</v>
      </c>
      <c r="B19" s="11"/>
      <c r="C19" s="11"/>
      <c r="D19" s="11">
        <v>1</v>
      </c>
      <c r="E19" s="11">
        <v>1</v>
      </c>
      <c r="F19" s="11">
        <v>4</v>
      </c>
      <c r="G19" s="11">
        <v>5</v>
      </c>
      <c r="H19" s="11"/>
      <c r="I19" s="11"/>
      <c r="J19" s="11"/>
      <c r="K19" s="11"/>
      <c r="L19" s="11"/>
      <c r="M19" s="11"/>
      <c r="N19" s="11"/>
      <c r="O19" s="3">
        <f t="shared" si="3"/>
        <v>-7</v>
      </c>
    </row>
    <row r="20" spans="1:15" ht="13.5" customHeight="1" x14ac:dyDescent="0.2">
      <c r="A20" s="3" t="s">
        <v>72</v>
      </c>
      <c r="B20" s="11">
        <v>1</v>
      </c>
      <c r="C20" s="11"/>
      <c r="D20" s="11"/>
      <c r="E20" s="11">
        <v>2</v>
      </c>
      <c r="F20" s="11"/>
      <c r="G20" s="11"/>
      <c r="H20" s="11"/>
      <c r="I20" s="11"/>
      <c r="J20" s="11"/>
      <c r="K20" s="11"/>
      <c r="L20" s="11"/>
      <c r="M20" s="11"/>
      <c r="N20" s="11"/>
      <c r="O20" s="3">
        <f t="shared" si="3"/>
        <v>9</v>
      </c>
    </row>
    <row r="21" spans="1:15" ht="13.5" customHeight="1" x14ac:dyDescent="0.2">
      <c r="A21" s="3" t="s">
        <v>107</v>
      </c>
      <c r="B21" s="11"/>
      <c r="C21" s="11"/>
      <c r="D21" s="11">
        <v>1</v>
      </c>
      <c r="E21" s="11"/>
      <c r="F21" s="11">
        <v>2</v>
      </c>
      <c r="G21" s="11">
        <v>1</v>
      </c>
      <c r="H21" s="11"/>
      <c r="I21" s="11"/>
      <c r="J21" s="11"/>
      <c r="K21" s="11"/>
      <c r="L21" s="11"/>
      <c r="M21" s="11"/>
      <c r="N21" s="11"/>
      <c r="O21" s="3">
        <f t="shared" si="3"/>
        <v>-3</v>
      </c>
    </row>
    <row r="22" spans="1:15" ht="13.5" customHeight="1" x14ac:dyDescent="0.2">
      <c r="A22" s="57" t="s">
        <v>14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8"/>
    </row>
    <row r="23" spans="1:15" ht="13.5" customHeight="1" x14ac:dyDescent="0.2">
      <c r="A23" s="3" t="s">
        <v>11</v>
      </c>
      <c r="B23" s="11">
        <v>1</v>
      </c>
      <c r="C23" s="11"/>
      <c r="D23" s="11"/>
      <c r="E23" s="11">
        <v>7</v>
      </c>
      <c r="F23" s="11">
        <v>1</v>
      </c>
      <c r="G23" s="11"/>
      <c r="H23" s="11"/>
      <c r="I23" s="11"/>
      <c r="J23" s="11"/>
      <c r="K23" s="11"/>
      <c r="L23" s="11"/>
      <c r="M23" s="11"/>
      <c r="N23" s="11"/>
      <c r="O23" s="3">
        <f t="shared" ref="O23:O26" si="4">(B23*5)+(C23*3)+(D23*0)+(E23*2)+(F23*-1)+(G23*-1)+(H23*-5)+(I23*5)+(J23*2)+(K23*10)+(L23*15)+(M23*20)+(N23*30)</f>
        <v>18</v>
      </c>
    </row>
    <row r="24" spans="1:15" ht="13.5" customHeight="1" x14ac:dyDescent="0.2">
      <c r="A24" s="3" t="s">
        <v>108</v>
      </c>
      <c r="B24" s="11"/>
      <c r="C24" s="11"/>
      <c r="D24" s="11">
        <v>1</v>
      </c>
      <c r="E24" s="11">
        <v>1</v>
      </c>
      <c r="F24" s="11">
        <v>7</v>
      </c>
      <c r="G24" s="11"/>
      <c r="H24" s="11"/>
      <c r="I24" s="11"/>
      <c r="J24" s="11"/>
      <c r="K24" s="11"/>
      <c r="L24" s="11"/>
      <c r="M24" s="11"/>
      <c r="N24" s="11"/>
      <c r="O24" s="3">
        <f t="shared" si="4"/>
        <v>-5</v>
      </c>
    </row>
    <row r="25" spans="1:15" ht="13.5" customHeight="1" x14ac:dyDescent="0.2">
      <c r="A25" s="3" t="s">
        <v>109</v>
      </c>
      <c r="B25" s="11">
        <v>1</v>
      </c>
      <c r="C25" s="11"/>
      <c r="D25" s="11"/>
      <c r="E25" s="11">
        <v>1</v>
      </c>
      <c r="F25" s="11"/>
      <c r="G25" s="11">
        <v>3</v>
      </c>
      <c r="H25" s="11"/>
      <c r="I25" s="11"/>
      <c r="J25" s="11"/>
      <c r="K25" s="11"/>
      <c r="L25" s="11"/>
      <c r="M25" s="11"/>
      <c r="N25" s="11"/>
      <c r="O25" s="3">
        <f t="shared" si="4"/>
        <v>4</v>
      </c>
    </row>
    <row r="26" spans="1:15" ht="13.5" customHeight="1" x14ac:dyDescent="0.2">
      <c r="A26" s="3" t="s">
        <v>91</v>
      </c>
      <c r="B26" s="11"/>
      <c r="C26" s="11"/>
      <c r="D26" s="11">
        <v>1</v>
      </c>
      <c r="E26" s="11"/>
      <c r="F26" s="11">
        <v>1</v>
      </c>
      <c r="G26" s="11">
        <v>1</v>
      </c>
      <c r="H26" s="11"/>
      <c r="I26" s="11"/>
      <c r="J26" s="11"/>
      <c r="K26" s="11"/>
      <c r="L26" s="11"/>
      <c r="M26" s="11"/>
      <c r="N26" s="11"/>
      <c r="O26" s="3">
        <f t="shared" si="4"/>
        <v>-2</v>
      </c>
    </row>
    <row r="27" spans="1:15" ht="13.5" customHeight="1" x14ac:dyDescent="0.2">
      <c r="A27" s="57" t="s">
        <v>15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8"/>
    </row>
    <row r="28" spans="1:15" ht="13.5" customHeight="1" x14ac:dyDescent="0.2">
      <c r="A28" s="3" t="s">
        <v>57</v>
      </c>
      <c r="B28" s="11"/>
      <c r="C28" s="11">
        <v>1</v>
      </c>
      <c r="D28" s="11"/>
      <c r="E28" s="11">
        <v>2</v>
      </c>
      <c r="F28" s="11">
        <v>2</v>
      </c>
      <c r="G28" s="11">
        <v>3</v>
      </c>
      <c r="H28" s="11"/>
      <c r="I28" s="11"/>
      <c r="J28" s="11"/>
      <c r="K28" s="11"/>
      <c r="L28" s="11"/>
      <c r="M28" s="11"/>
      <c r="N28" s="11"/>
      <c r="O28" s="3">
        <f t="shared" ref="O28:O31" si="5">(B28*5)+(C28*3)+(D28*0)+(E28*2)+(F28*-1)+(G28*-1)+(H28*-5)+(I28*5)+(J28*2)+(K28*10)+(L28*15)+(M28*20)+(N28*30)</f>
        <v>2</v>
      </c>
    </row>
    <row r="29" spans="1:15" ht="13.5" customHeight="1" x14ac:dyDescent="0.2">
      <c r="A29" s="3" t="s">
        <v>75</v>
      </c>
      <c r="B29" s="11"/>
      <c r="C29" s="11">
        <v>1</v>
      </c>
      <c r="D29" s="11"/>
      <c r="E29" s="11">
        <v>2</v>
      </c>
      <c r="F29" s="11">
        <v>2</v>
      </c>
      <c r="G29" s="11"/>
      <c r="H29" s="11"/>
      <c r="I29" s="11"/>
      <c r="J29" s="11"/>
      <c r="K29" s="11"/>
      <c r="L29" s="11"/>
      <c r="M29" s="11"/>
      <c r="N29" s="11"/>
      <c r="O29" s="3">
        <f t="shared" si="5"/>
        <v>5</v>
      </c>
    </row>
    <row r="30" spans="1:15" ht="13.5" customHeight="1" x14ac:dyDescent="0.2">
      <c r="A30" s="3" t="s">
        <v>110</v>
      </c>
      <c r="B30" s="11">
        <v>1</v>
      </c>
      <c r="C30" s="11"/>
      <c r="D30" s="11"/>
      <c r="E30" s="11">
        <v>5</v>
      </c>
      <c r="F30" s="11">
        <v>1</v>
      </c>
      <c r="G30" s="11"/>
      <c r="H30" s="11"/>
      <c r="I30" s="11"/>
      <c r="J30" s="11"/>
      <c r="K30" s="11"/>
      <c r="L30" s="11"/>
      <c r="M30" s="11"/>
      <c r="N30" s="11"/>
      <c r="O30" s="3">
        <f t="shared" si="5"/>
        <v>14</v>
      </c>
    </row>
    <row r="31" spans="1:15" ht="13.5" customHeight="1" x14ac:dyDescent="0.2">
      <c r="A31" s="3" t="s">
        <v>73</v>
      </c>
      <c r="B31" s="11"/>
      <c r="C31" s="11"/>
      <c r="D31" s="11">
        <v>1</v>
      </c>
      <c r="E31" s="11">
        <v>1</v>
      </c>
      <c r="F31" s="11">
        <v>5</v>
      </c>
      <c r="G31" s="11">
        <v>1</v>
      </c>
      <c r="H31" s="11"/>
      <c r="I31" s="11"/>
      <c r="J31" s="11"/>
      <c r="K31" s="11"/>
      <c r="L31" s="11"/>
      <c r="M31" s="11"/>
      <c r="N31" s="11"/>
      <c r="O31" s="3">
        <f t="shared" si="5"/>
        <v>-4</v>
      </c>
    </row>
    <row r="32" spans="1:15" ht="13.5" customHeight="1" x14ac:dyDescent="0.2">
      <c r="A32" s="57" t="s">
        <v>78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8"/>
    </row>
    <row r="33" spans="1:15" ht="13.5" customHeight="1" x14ac:dyDescent="0.2">
      <c r="A33" s="3" t="s">
        <v>18</v>
      </c>
      <c r="B33" s="11"/>
      <c r="C33" s="11">
        <v>1</v>
      </c>
      <c r="D33" s="11"/>
      <c r="E33" s="11">
        <v>1</v>
      </c>
      <c r="F33" s="11">
        <v>1</v>
      </c>
      <c r="G33" s="11">
        <v>2</v>
      </c>
      <c r="H33" s="11"/>
      <c r="I33" s="11"/>
      <c r="J33" s="11"/>
      <c r="K33" s="11"/>
      <c r="L33" s="11"/>
      <c r="M33" s="11"/>
      <c r="N33" s="11"/>
      <c r="O33" s="3">
        <f t="shared" ref="O33:O34" si="6">(B33*5)+(C33*3)+(D33*0)+(E33*2)+(F33*-1)+(G33*-1)+(H33*-5)+(I33*5)+(J33*2)+(K33*10)+(L33*15)+(M33*20)+(N33*30)</f>
        <v>2</v>
      </c>
    </row>
    <row r="34" spans="1:15" ht="13.5" customHeight="1" x14ac:dyDescent="0.2">
      <c r="A34" s="3" t="s">
        <v>111</v>
      </c>
      <c r="B34" s="11"/>
      <c r="C34" s="11">
        <v>1</v>
      </c>
      <c r="D34" s="11"/>
      <c r="E34" s="11">
        <v>1</v>
      </c>
      <c r="F34" s="11">
        <v>1</v>
      </c>
      <c r="G34" s="11">
        <v>2</v>
      </c>
      <c r="H34" s="11"/>
      <c r="I34" s="11"/>
      <c r="J34" s="11"/>
      <c r="K34" s="11"/>
      <c r="L34" s="11"/>
      <c r="M34" s="11"/>
      <c r="N34" s="11"/>
      <c r="O34" s="3">
        <f t="shared" si="6"/>
        <v>2</v>
      </c>
    </row>
    <row r="35" spans="1:15" ht="13.5" customHeight="1" x14ac:dyDescent="0.2">
      <c r="A35" s="3" t="s">
        <v>67</v>
      </c>
      <c r="B35" s="11"/>
      <c r="C35" s="11">
        <v>1</v>
      </c>
      <c r="D35" s="11"/>
      <c r="E35" s="11">
        <v>2</v>
      </c>
      <c r="F35" s="11">
        <v>2</v>
      </c>
      <c r="G35" s="11">
        <v>1</v>
      </c>
      <c r="H35" s="11"/>
      <c r="I35" s="11"/>
      <c r="J35" s="11"/>
      <c r="K35" s="11"/>
      <c r="L35" s="11"/>
      <c r="M35" s="11"/>
      <c r="N35" s="11"/>
      <c r="O35" s="3">
        <f>(B35*5)+(C35*3)+(D35*0)+(E35*2)+(F35*-1)+(G35*-1)+(H35*-5)+(I35*5)+(J35*2)+(K35*10)+(L35*15)+(M35*20)+(N35*30)</f>
        <v>4</v>
      </c>
    </row>
    <row r="36" spans="1:15" ht="13.5" customHeight="1" x14ac:dyDescent="0.2">
      <c r="A36" s="3" t="s">
        <v>112</v>
      </c>
      <c r="B36" s="11"/>
      <c r="C36" s="11">
        <v>1</v>
      </c>
      <c r="D36" s="11"/>
      <c r="E36" s="11">
        <v>2</v>
      </c>
      <c r="F36" s="11">
        <v>2</v>
      </c>
      <c r="G36" s="11"/>
      <c r="H36" s="11"/>
      <c r="I36" s="11"/>
      <c r="J36" s="11"/>
      <c r="K36" s="11"/>
      <c r="L36" s="11"/>
      <c r="M36" s="11"/>
      <c r="N36" s="11"/>
      <c r="O36" s="3">
        <f>(B36*5)+(C36*3)+(D36*0)+(E36*2)+(F36*-1)+(G36*-1)+(H36*-5)+(I36*5)+(J36*2)+(K36*10)+(L36*15)+(M36*20)+(N36*30)</f>
        <v>5</v>
      </c>
    </row>
    <row r="37" spans="1:15" ht="13.5" customHeight="1" x14ac:dyDescent="0.2">
      <c r="A37" s="57" t="s">
        <v>79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8"/>
    </row>
    <row r="38" spans="1:15" ht="13.5" customHeight="1" x14ac:dyDescent="0.2">
      <c r="A38" s="3" t="s">
        <v>17</v>
      </c>
      <c r="B38" s="11"/>
      <c r="C38" s="11">
        <v>1</v>
      </c>
      <c r="D38" s="11"/>
      <c r="E38" s="11"/>
      <c r="F38" s="11"/>
      <c r="G38" s="11">
        <v>1</v>
      </c>
      <c r="H38" s="11"/>
      <c r="I38" s="11"/>
      <c r="J38" s="11"/>
      <c r="K38" s="11"/>
      <c r="L38" s="11"/>
      <c r="M38" s="11"/>
      <c r="N38" s="11"/>
      <c r="O38" s="3">
        <f t="shared" ref="O38:O41" si="7">(B38*5)+(C38*3)+(D38*0)+(E38*2)+(F38*-1)+(G38*-1)+(H38*-5)+(I38*5)+(J38*2)+(K38*10)+(L38*15)+(M38*20)+(N38*30)</f>
        <v>2</v>
      </c>
    </row>
    <row r="39" spans="1:15" ht="13.5" customHeight="1" x14ac:dyDescent="0.2">
      <c r="A39" s="3" t="s">
        <v>113</v>
      </c>
      <c r="B39" s="11"/>
      <c r="C39" s="11">
        <v>1</v>
      </c>
      <c r="D39" s="11"/>
      <c r="E39" s="11"/>
      <c r="F39" s="11"/>
      <c r="G39" s="11">
        <v>1</v>
      </c>
      <c r="H39" s="11"/>
      <c r="I39" s="11"/>
      <c r="J39" s="11"/>
      <c r="K39" s="11"/>
      <c r="L39" s="11"/>
      <c r="M39" s="11"/>
      <c r="N39" s="11"/>
      <c r="O39" s="3">
        <f t="shared" si="7"/>
        <v>2</v>
      </c>
    </row>
    <row r="40" spans="1:15" ht="13.5" customHeight="1" x14ac:dyDescent="0.2">
      <c r="A40" s="3" t="s">
        <v>70</v>
      </c>
      <c r="B40" s="11"/>
      <c r="C40" s="11">
        <v>1</v>
      </c>
      <c r="D40" s="11"/>
      <c r="E40" s="11">
        <v>1</v>
      </c>
      <c r="F40" s="11">
        <v>1</v>
      </c>
      <c r="G40" s="11">
        <v>1</v>
      </c>
      <c r="H40" s="11"/>
      <c r="I40" s="11"/>
      <c r="J40" s="11"/>
      <c r="K40" s="11"/>
      <c r="L40" s="11"/>
      <c r="M40" s="11"/>
      <c r="N40" s="11"/>
      <c r="O40" s="3">
        <f t="shared" si="7"/>
        <v>3</v>
      </c>
    </row>
    <row r="41" spans="1:15" ht="13.5" customHeight="1" x14ac:dyDescent="0.2">
      <c r="A41" s="3" t="s">
        <v>84</v>
      </c>
      <c r="B41" s="11"/>
      <c r="C41" s="11">
        <v>1</v>
      </c>
      <c r="D41" s="11"/>
      <c r="E41" s="11">
        <v>1</v>
      </c>
      <c r="F41" s="11">
        <v>1</v>
      </c>
      <c r="G41" s="11"/>
      <c r="H41" s="11"/>
      <c r="I41" s="11"/>
      <c r="J41" s="11"/>
      <c r="K41" s="11"/>
      <c r="L41" s="11"/>
      <c r="M41" s="11"/>
      <c r="N41" s="11"/>
      <c r="O41" s="3">
        <f t="shared" si="7"/>
        <v>4</v>
      </c>
    </row>
    <row r="42" spans="1:15" ht="13.5" customHeight="1" x14ac:dyDescent="0.2">
      <c r="A42" s="57" t="s">
        <v>97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8"/>
    </row>
    <row r="43" spans="1:15" ht="13.5" customHeight="1" x14ac:dyDescent="0.2">
      <c r="A43" s="3" t="s">
        <v>8</v>
      </c>
      <c r="B43" s="11">
        <v>1</v>
      </c>
      <c r="C43" s="11"/>
      <c r="D43" s="11"/>
      <c r="E43" s="11">
        <v>3</v>
      </c>
      <c r="F43" s="11">
        <v>1</v>
      </c>
      <c r="G43" s="11"/>
      <c r="H43" s="11"/>
      <c r="I43" s="11"/>
      <c r="J43" s="11"/>
      <c r="K43" s="11"/>
      <c r="L43" s="11"/>
      <c r="M43" s="11"/>
      <c r="N43" s="11"/>
      <c r="O43" s="3">
        <f t="shared" ref="O43:O46" si="8">(B43*5)+(C43*3)+(D43*0)+(E43*2)+(F43*-1)+(G43*-1)+(H43*-5)+(I43*5)+(J43*2)+(K43*10)+(L43*15)+(M43*20)+(N43*30)</f>
        <v>10</v>
      </c>
    </row>
    <row r="44" spans="1:15" ht="13.5" customHeight="1" x14ac:dyDescent="0.2">
      <c r="A44" s="3" t="s">
        <v>66</v>
      </c>
      <c r="B44" s="11"/>
      <c r="C44" s="11"/>
      <c r="D44" s="11">
        <v>1</v>
      </c>
      <c r="E44" s="11">
        <v>1</v>
      </c>
      <c r="F44" s="11">
        <v>3</v>
      </c>
      <c r="G44" s="11"/>
      <c r="H44" s="11"/>
      <c r="I44" s="11"/>
      <c r="J44" s="11"/>
      <c r="K44" s="11"/>
      <c r="L44" s="11"/>
      <c r="M44" s="11"/>
      <c r="N44" s="11"/>
      <c r="O44" s="3">
        <f t="shared" si="8"/>
        <v>-1</v>
      </c>
    </row>
    <row r="45" spans="1:15" ht="13.5" customHeight="1" x14ac:dyDescent="0.2">
      <c r="A45" s="3" t="s">
        <v>114</v>
      </c>
      <c r="B45" s="11"/>
      <c r="C45" s="11"/>
      <c r="D45" s="11">
        <v>1</v>
      </c>
      <c r="E45" s="11">
        <v>1</v>
      </c>
      <c r="F45" s="11">
        <v>4</v>
      </c>
      <c r="G45" s="11">
        <v>1</v>
      </c>
      <c r="H45" s="11"/>
      <c r="I45" s="11"/>
      <c r="J45" s="11"/>
      <c r="K45" s="11"/>
      <c r="L45" s="11"/>
      <c r="M45" s="11"/>
      <c r="N45" s="11"/>
      <c r="O45" s="3">
        <f t="shared" si="8"/>
        <v>-3</v>
      </c>
    </row>
    <row r="46" spans="1:15" ht="13.5" customHeight="1" x14ac:dyDescent="0.2">
      <c r="A46" s="3" t="s">
        <v>115</v>
      </c>
      <c r="B46" s="11">
        <v>1</v>
      </c>
      <c r="C46" s="11"/>
      <c r="D46" s="11"/>
      <c r="E46" s="11">
        <v>4</v>
      </c>
      <c r="F46" s="11">
        <v>1</v>
      </c>
      <c r="G46" s="11"/>
      <c r="H46" s="11"/>
      <c r="I46" s="11"/>
      <c r="J46" s="11"/>
      <c r="K46" s="11"/>
      <c r="L46" s="11"/>
      <c r="M46" s="11"/>
      <c r="N46" s="11"/>
      <c r="O46" s="3">
        <f t="shared" si="8"/>
        <v>12</v>
      </c>
    </row>
    <row r="47" spans="1:15" ht="13.5" customHeight="1" x14ac:dyDescent="0.2">
      <c r="A47" s="57" t="s">
        <v>98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8"/>
    </row>
    <row r="48" spans="1:15" ht="13.5" customHeight="1" x14ac:dyDescent="0.2">
      <c r="A48" s="3" t="s">
        <v>69</v>
      </c>
      <c r="B48" s="11">
        <v>1</v>
      </c>
      <c r="C48" s="11"/>
      <c r="D48" s="11"/>
      <c r="E48" s="11">
        <v>3</v>
      </c>
      <c r="F48" s="11"/>
      <c r="G48" s="11"/>
      <c r="H48" s="11"/>
      <c r="I48" s="11"/>
      <c r="J48" s="11"/>
      <c r="K48" s="11"/>
      <c r="L48" s="11"/>
      <c r="M48" s="11"/>
      <c r="N48" s="11"/>
      <c r="O48" s="3">
        <f t="shared" ref="O48:O51" si="9">(B48*5)+(C48*3)+(D48*0)+(E48*2)+(F48*-1)+(G48*-1)+(H48*-5)+(I48*5)+(J48*2)+(K48*10)+(L48*15)+(M48*20)+(N48*30)</f>
        <v>11</v>
      </c>
    </row>
    <row r="49" spans="1:15" ht="13.5" customHeight="1" x14ac:dyDescent="0.2">
      <c r="A49" s="3" t="s">
        <v>116</v>
      </c>
      <c r="B49" s="11"/>
      <c r="C49" s="11"/>
      <c r="D49" s="11">
        <v>1</v>
      </c>
      <c r="E49" s="11"/>
      <c r="F49" s="11">
        <v>3</v>
      </c>
      <c r="G49" s="11"/>
      <c r="H49" s="11"/>
      <c r="I49" s="11"/>
      <c r="J49" s="11"/>
      <c r="K49" s="11"/>
      <c r="L49" s="11"/>
      <c r="M49" s="11"/>
      <c r="N49" s="11"/>
      <c r="O49" s="3">
        <f t="shared" si="9"/>
        <v>-3</v>
      </c>
    </row>
    <row r="50" spans="1:15" ht="13.5" customHeight="1" x14ac:dyDescent="0.2">
      <c r="A50" s="3" t="s">
        <v>117</v>
      </c>
      <c r="B50" s="11">
        <v>1</v>
      </c>
      <c r="C50" s="11"/>
      <c r="D50" s="11"/>
      <c r="E50" s="11">
        <v>3</v>
      </c>
      <c r="F50" s="11">
        <v>1</v>
      </c>
      <c r="G50" s="11">
        <v>1</v>
      </c>
      <c r="H50" s="11"/>
      <c r="I50" s="11"/>
      <c r="J50" s="11"/>
      <c r="K50" s="11"/>
      <c r="L50" s="11"/>
      <c r="M50" s="11"/>
      <c r="N50" s="11"/>
      <c r="O50" s="3">
        <f t="shared" si="9"/>
        <v>9</v>
      </c>
    </row>
    <row r="51" spans="1:15" ht="13.5" customHeight="1" x14ac:dyDescent="0.2">
      <c r="A51" s="3" t="s">
        <v>118</v>
      </c>
      <c r="B51" s="11"/>
      <c r="C51" s="11"/>
      <c r="D51" s="11">
        <v>1</v>
      </c>
      <c r="E51" s="11">
        <v>1</v>
      </c>
      <c r="F51" s="11">
        <v>3</v>
      </c>
      <c r="G51" s="11"/>
      <c r="H51" s="11"/>
      <c r="I51" s="11"/>
      <c r="J51" s="11"/>
      <c r="K51" s="11"/>
      <c r="L51" s="11"/>
      <c r="M51" s="11"/>
      <c r="N51" s="11"/>
      <c r="O51" s="3">
        <f t="shared" si="9"/>
        <v>-1</v>
      </c>
    </row>
    <row r="52" spans="1:15" ht="13.5" customHeight="1" x14ac:dyDescent="0.2">
      <c r="A52" s="57" t="s">
        <v>99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8"/>
    </row>
    <row r="53" spans="1:15" ht="13.5" customHeight="1" x14ac:dyDescent="0.2">
      <c r="A53" s="3" t="s">
        <v>19</v>
      </c>
      <c r="B53" s="11"/>
      <c r="C53" s="11">
        <v>1</v>
      </c>
      <c r="D53" s="11"/>
      <c r="E53" s="11">
        <v>1</v>
      </c>
      <c r="F53" s="11">
        <v>1</v>
      </c>
      <c r="G53" s="11">
        <v>3</v>
      </c>
      <c r="H53" s="11"/>
      <c r="I53" s="11"/>
      <c r="J53" s="11"/>
      <c r="K53" s="11"/>
      <c r="L53" s="11"/>
      <c r="M53" s="11"/>
      <c r="N53" s="11"/>
      <c r="O53" s="3">
        <f t="shared" ref="O53:O56" si="10">(B53*5)+(C53*3)+(D53*0)+(E53*2)+(F53*-1)+(G53*-1)+(H53*-5)+(I53*5)+(J53*2)+(K53*10)+(L53*15)+(M53*20)+(N53*30)</f>
        <v>1</v>
      </c>
    </row>
    <row r="54" spans="1:15" ht="13.5" customHeight="1" x14ac:dyDescent="0.2">
      <c r="A54" s="3" t="s">
        <v>119</v>
      </c>
      <c r="B54" s="11"/>
      <c r="C54" s="11">
        <v>1</v>
      </c>
      <c r="D54" s="11"/>
      <c r="E54" s="11">
        <v>1</v>
      </c>
      <c r="F54" s="11">
        <v>1</v>
      </c>
      <c r="G54" s="11">
        <v>1</v>
      </c>
      <c r="H54" s="11"/>
      <c r="I54" s="11"/>
      <c r="J54" s="11"/>
      <c r="K54" s="11"/>
      <c r="L54" s="11"/>
      <c r="M54" s="11"/>
      <c r="N54" s="11"/>
      <c r="O54" s="3">
        <f t="shared" si="10"/>
        <v>3</v>
      </c>
    </row>
    <row r="55" spans="1:15" ht="13.5" customHeight="1" x14ac:dyDescent="0.2">
      <c r="A55" s="3" t="s">
        <v>120</v>
      </c>
      <c r="B55" s="11"/>
      <c r="C55" s="11"/>
      <c r="D55" s="11">
        <v>1</v>
      </c>
      <c r="E55" s="11">
        <v>1</v>
      </c>
      <c r="F55" s="11">
        <v>3</v>
      </c>
      <c r="G55" s="11">
        <v>1</v>
      </c>
      <c r="H55" s="11"/>
      <c r="I55" s="11"/>
      <c r="J55" s="11"/>
      <c r="K55" s="11"/>
      <c r="L55" s="11"/>
      <c r="M55" s="11"/>
      <c r="N55" s="11"/>
      <c r="O55" s="3">
        <f t="shared" si="10"/>
        <v>-2</v>
      </c>
    </row>
    <row r="56" spans="1:15" ht="13.5" customHeight="1" x14ac:dyDescent="0.2">
      <c r="A56" s="3" t="s">
        <v>121</v>
      </c>
      <c r="B56" s="11">
        <v>1</v>
      </c>
      <c r="C56" s="11"/>
      <c r="D56" s="11"/>
      <c r="E56" s="11">
        <v>3</v>
      </c>
      <c r="F56" s="11">
        <v>1</v>
      </c>
      <c r="G56" s="11">
        <v>1</v>
      </c>
      <c r="H56" s="11"/>
      <c r="I56" s="11"/>
      <c r="J56" s="11"/>
      <c r="K56" s="11"/>
      <c r="L56" s="11"/>
      <c r="M56" s="11"/>
      <c r="N56" s="11"/>
      <c r="O56" s="3">
        <f t="shared" si="10"/>
        <v>9</v>
      </c>
    </row>
    <row r="57" spans="1:15" ht="13.5" customHeight="1" x14ac:dyDescent="0.2">
      <c r="A57" s="57" t="s">
        <v>100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8"/>
    </row>
    <row r="58" spans="1:15" ht="13.5" customHeight="1" x14ac:dyDescent="0.2">
      <c r="A58" s="3" t="s">
        <v>10</v>
      </c>
      <c r="B58" s="11">
        <v>1</v>
      </c>
      <c r="C58" s="11"/>
      <c r="D58" s="11"/>
      <c r="E58" s="11">
        <v>4</v>
      </c>
      <c r="F58" s="11">
        <v>2</v>
      </c>
      <c r="G58" s="11"/>
      <c r="H58" s="11"/>
      <c r="I58" s="11"/>
      <c r="J58" s="11"/>
      <c r="K58" s="11"/>
      <c r="L58" s="11"/>
      <c r="M58" s="11"/>
      <c r="N58" s="11"/>
      <c r="O58" s="3">
        <f t="shared" ref="O58:O61" si="11">(B58*5)+(C58*3)+(D58*0)+(E58*2)+(F58*-1)+(G58*-1)+(H58*-5)+(I58*5)+(J58*2)+(K58*10)+(L58*15)+(M58*20)+(N58*30)</f>
        <v>11</v>
      </c>
    </row>
    <row r="59" spans="1:15" ht="13.5" customHeight="1" x14ac:dyDescent="0.2">
      <c r="A59" s="3" t="s">
        <v>16</v>
      </c>
      <c r="B59" s="11"/>
      <c r="C59" s="11"/>
      <c r="D59" s="11">
        <v>1</v>
      </c>
      <c r="E59" s="11">
        <v>2</v>
      </c>
      <c r="F59" s="11">
        <v>4</v>
      </c>
      <c r="G59" s="11"/>
      <c r="H59" s="11"/>
      <c r="I59" s="11"/>
      <c r="J59" s="11"/>
      <c r="K59" s="11"/>
      <c r="L59" s="11"/>
      <c r="M59" s="11"/>
      <c r="N59" s="11"/>
      <c r="O59" s="3">
        <f t="shared" si="11"/>
        <v>0</v>
      </c>
    </row>
    <row r="60" spans="1:15" ht="13.5" customHeight="1" x14ac:dyDescent="0.2">
      <c r="A60" s="3" t="s">
        <v>83</v>
      </c>
      <c r="B60" s="11">
        <v>1</v>
      </c>
      <c r="C60" s="11"/>
      <c r="D60" s="11"/>
      <c r="E60" s="11">
        <v>1</v>
      </c>
      <c r="F60" s="11"/>
      <c r="G60" s="11">
        <v>1</v>
      </c>
      <c r="H60" s="11"/>
      <c r="I60" s="11"/>
      <c r="J60" s="11"/>
      <c r="K60" s="11"/>
      <c r="L60" s="11"/>
      <c r="M60" s="11"/>
      <c r="N60" s="11"/>
      <c r="O60" s="3">
        <f t="shared" si="11"/>
        <v>6</v>
      </c>
    </row>
    <row r="61" spans="1:15" ht="13.5" customHeight="1" x14ac:dyDescent="0.2">
      <c r="A61" s="3" t="s">
        <v>122</v>
      </c>
      <c r="B61" s="11"/>
      <c r="C61" s="11"/>
      <c r="D61" s="11">
        <v>1</v>
      </c>
      <c r="E61" s="11"/>
      <c r="F61" s="11">
        <v>1</v>
      </c>
      <c r="G61" s="11">
        <v>2</v>
      </c>
      <c r="H61" s="11"/>
      <c r="I61" s="11"/>
      <c r="J61" s="11"/>
      <c r="K61" s="11"/>
      <c r="L61" s="11"/>
      <c r="M61" s="11"/>
      <c r="N61" s="11"/>
      <c r="O61" s="3">
        <f t="shared" si="11"/>
        <v>-3</v>
      </c>
    </row>
    <row r="62" spans="1:15" ht="13.5" customHeight="1" x14ac:dyDescent="0.2"/>
    <row r="63" spans="1:15" ht="13.5" customHeight="1" x14ac:dyDescent="0.2"/>
    <row r="64" spans="1:15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</sheetData>
  <sheetProtection algorithmName="SHA-512" hashValue="FZxYBEfD+KTbg4mbkojw5igeic1UygkQY0xXYF9JY+/AkFmjXUBpKLnnSPfZNDOARbE1km1vx9pb+D8gdE5d7g==" saltValue="ssliKYR/pIgeFkBNjBx0CQ==" spinCount="100000" sheet="1" objects="1" scenarios="1"/>
  <mergeCells count="12">
    <mergeCell ref="A27:O27"/>
    <mergeCell ref="A2:O2"/>
    <mergeCell ref="A7:O7"/>
    <mergeCell ref="A12:O12"/>
    <mergeCell ref="A17:O17"/>
    <mergeCell ref="A22:O22"/>
    <mergeCell ref="A42:O42"/>
    <mergeCell ref="A47:O47"/>
    <mergeCell ref="A52:O52"/>
    <mergeCell ref="A57:O57"/>
    <mergeCell ref="A32:O32"/>
    <mergeCell ref="A37:O37"/>
  </mergeCells>
  <pageMargins left="0.7" right="0.7" top="0.75" bottom="0.75" header="0.3" footer="0.3"/>
  <pageSetup paperSize="9" scale="45" orientation="landscape" r:id="rId1"/>
  <headerFooter>
    <oddFooter>&amp;L_x000D_&amp;1#&amp;"Aptos"&amp;10&amp;K000000 Classification: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005"/>
  <sheetViews>
    <sheetView topLeftCell="J24" zoomScale="96" zoomScaleNormal="96" zoomScaleSheetLayoutView="30" workbookViewId="0">
      <selection activeCell="O34" sqref="O34"/>
    </sheetView>
  </sheetViews>
  <sheetFormatPr baseColWidth="10" defaultColWidth="15.1640625" defaultRowHeight="15" customHeight="1" x14ac:dyDescent="0.2"/>
  <cols>
    <col min="1" max="1" width="12" bestFit="1" customWidth="1"/>
    <col min="2" max="2" width="5.83203125" bestFit="1" customWidth="1"/>
    <col min="3" max="3" width="9.83203125" bestFit="1" customWidth="1"/>
    <col min="4" max="4" width="6.5" bestFit="1" customWidth="1"/>
    <col min="5" max="5" width="12" bestFit="1" customWidth="1"/>
    <col min="6" max="6" width="5.83203125" bestFit="1" customWidth="1"/>
    <col min="7" max="7" width="9.83203125" bestFit="1" customWidth="1"/>
    <col min="8" max="8" width="6.5" bestFit="1" customWidth="1"/>
    <col min="9" max="9" width="12.5" bestFit="1" customWidth="1"/>
    <col min="10" max="10" width="5.83203125" bestFit="1" customWidth="1"/>
    <col min="11" max="11" width="9.83203125" bestFit="1" customWidth="1"/>
    <col min="12" max="12" width="6.5" bestFit="1" customWidth="1"/>
    <col min="13" max="13" width="12" bestFit="1" customWidth="1"/>
    <col min="14" max="14" width="5.83203125" bestFit="1" customWidth="1"/>
    <col min="15" max="15" width="9.83203125" bestFit="1" customWidth="1"/>
    <col min="16" max="16" width="6.5" bestFit="1" customWidth="1"/>
    <col min="17" max="17" width="7.6640625" style="27" customWidth="1"/>
    <col min="18" max="18" width="12" bestFit="1" customWidth="1"/>
    <col min="19" max="19" width="5.83203125" bestFit="1" customWidth="1"/>
    <col min="20" max="20" width="9.83203125" bestFit="1" customWidth="1"/>
    <col min="21" max="21" width="6.5" bestFit="1" customWidth="1"/>
    <col min="22" max="22" width="11.6640625" bestFit="1" customWidth="1"/>
    <col min="23" max="23" width="5.83203125" bestFit="1" customWidth="1"/>
    <col min="24" max="24" width="9.83203125" bestFit="1" customWidth="1"/>
    <col min="25" max="25" width="6.5" bestFit="1" customWidth="1"/>
    <col min="26" max="26" width="9" bestFit="1" customWidth="1"/>
    <col min="27" max="27" width="5.83203125" bestFit="1" customWidth="1"/>
    <col min="28" max="28" width="9.83203125" bestFit="1" customWidth="1"/>
    <col min="29" max="29" width="6.5" bestFit="1" customWidth="1"/>
    <col min="30" max="30" width="9.6640625" bestFit="1" customWidth="1"/>
    <col min="31" max="31" width="5.83203125" bestFit="1" customWidth="1"/>
    <col min="32" max="32" width="9.83203125" bestFit="1" customWidth="1"/>
    <col min="33" max="33" width="6.5" bestFit="1" customWidth="1"/>
    <col min="34" max="34" width="5.83203125" style="27" customWidth="1"/>
    <col min="36" max="36" width="5.83203125" bestFit="1" customWidth="1"/>
    <col min="37" max="37" width="9.83203125" bestFit="1" customWidth="1"/>
    <col min="38" max="38" width="6.5" bestFit="1" customWidth="1"/>
    <col min="39" max="39" width="12" bestFit="1" customWidth="1"/>
    <col min="40" max="40" width="5.83203125" bestFit="1" customWidth="1"/>
    <col min="41" max="41" width="9.83203125" bestFit="1" customWidth="1"/>
    <col min="42" max="42" width="6.5" bestFit="1" customWidth="1"/>
    <col min="43" max="43" width="12.5" bestFit="1" customWidth="1"/>
    <col min="44" max="44" width="5.83203125" bestFit="1" customWidth="1"/>
    <col min="45" max="45" width="9.83203125" bestFit="1" customWidth="1"/>
    <col min="46" max="46" width="6.5" bestFit="1" customWidth="1"/>
    <col min="47" max="47" width="12" bestFit="1" customWidth="1"/>
    <col min="48" max="48" width="5.83203125" bestFit="1" customWidth="1"/>
    <col min="49" max="49" width="9.83203125" bestFit="1" customWidth="1"/>
    <col min="50" max="50" width="6.5" bestFit="1" customWidth="1"/>
  </cols>
  <sheetData>
    <row r="1" spans="1:50" ht="13.5" customHeight="1" x14ac:dyDescent="0.2">
      <c r="A1" s="12" t="s">
        <v>0</v>
      </c>
      <c r="B1" s="59" t="s">
        <v>125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13" t="s">
        <v>50</v>
      </c>
      <c r="N1" s="61">
        <f>SUM(D3:D6,D8:D11,H3:H6, H8:H11,L3:L6,L8:L11,P3:P6,P8:P11,D13:D16,H13:H16,L13:L16,P13:P16)</f>
        <v>394</v>
      </c>
      <c r="O1" s="60"/>
      <c r="P1" s="62"/>
      <c r="R1" s="12" t="s">
        <v>0</v>
      </c>
      <c r="S1" s="59" t="s">
        <v>134</v>
      </c>
      <c r="T1" s="60"/>
      <c r="U1" s="60"/>
      <c r="V1" s="60"/>
      <c r="W1" s="60"/>
      <c r="X1" s="60"/>
      <c r="Y1" s="60"/>
      <c r="Z1" s="60"/>
      <c r="AA1" s="60"/>
      <c r="AB1" s="60"/>
      <c r="AC1" s="60"/>
      <c r="AD1" s="13" t="s">
        <v>50</v>
      </c>
      <c r="AE1" s="61">
        <f>SUM(U3:U6,U8:U11,Y3:Y6, Y8:Y11,AC3:AC6,AC8:AC11,AG3:AG6,AG8:AG11,U13:U16,Y13:Y16,AC13:AC16,AG13:AG16)</f>
        <v>363</v>
      </c>
      <c r="AF1" s="60"/>
      <c r="AG1" s="62"/>
      <c r="AI1" s="12" t="s">
        <v>0</v>
      </c>
      <c r="AJ1" s="59" t="s">
        <v>144</v>
      </c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13" t="s">
        <v>50</v>
      </c>
      <c r="AV1" s="61">
        <f>SUM(AL3:AL6,AL8:AL11,AP3:AP6, AP8:AP11,AT3:AT6,AT8:AT11,AX3:AX6,AX8:AX11,AL13:AL16,AP13:AP16,AT13:AT16,AX13:AX16)</f>
        <v>373</v>
      </c>
      <c r="AW1" s="60"/>
      <c r="AX1" s="62"/>
    </row>
    <row r="2" spans="1:50" ht="13.5" customHeight="1" x14ac:dyDescent="0.2">
      <c r="A2" s="14" t="s">
        <v>3</v>
      </c>
      <c r="B2" s="15" t="s">
        <v>51</v>
      </c>
      <c r="C2" s="16" t="s">
        <v>21</v>
      </c>
      <c r="D2" s="15" t="s">
        <v>49</v>
      </c>
      <c r="E2" s="15" t="s">
        <v>6</v>
      </c>
      <c r="F2" s="15" t="s">
        <v>51</v>
      </c>
      <c r="G2" s="16" t="s">
        <v>21</v>
      </c>
      <c r="H2" s="15" t="s">
        <v>49</v>
      </c>
      <c r="I2" s="15" t="s">
        <v>7</v>
      </c>
      <c r="J2" s="15" t="s">
        <v>51</v>
      </c>
      <c r="K2" s="16" t="s">
        <v>21</v>
      </c>
      <c r="L2" s="15" t="s">
        <v>49</v>
      </c>
      <c r="M2" s="15" t="s">
        <v>13</v>
      </c>
      <c r="N2" s="15" t="s">
        <v>51</v>
      </c>
      <c r="O2" s="16" t="s">
        <v>21</v>
      </c>
      <c r="P2" s="17" t="s">
        <v>49</v>
      </c>
      <c r="R2" s="14" t="s">
        <v>3</v>
      </c>
      <c r="S2" s="15" t="s">
        <v>51</v>
      </c>
      <c r="T2" s="16" t="s">
        <v>21</v>
      </c>
      <c r="U2" s="15" t="s">
        <v>49</v>
      </c>
      <c r="V2" s="15" t="s">
        <v>6</v>
      </c>
      <c r="W2" s="15" t="s">
        <v>51</v>
      </c>
      <c r="X2" s="16" t="s">
        <v>21</v>
      </c>
      <c r="Y2" s="15" t="s">
        <v>49</v>
      </c>
      <c r="Z2" s="15" t="s">
        <v>7</v>
      </c>
      <c r="AA2" s="15" t="s">
        <v>51</v>
      </c>
      <c r="AB2" s="16" t="s">
        <v>21</v>
      </c>
      <c r="AC2" s="15" t="s">
        <v>49</v>
      </c>
      <c r="AD2" s="15" t="s">
        <v>13</v>
      </c>
      <c r="AE2" s="15" t="s">
        <v>51</v>
      </c>
      <c r="AF2" s="16" t="s">
        <v>21</v>
      </c>
      <c r="AG2" s="17" t="s">
        <v>49</v>
      </c>
      <c r="AI2" s="14" t="s">
        <v>3</v>
      </c>
      <c r="AJ2" s="15" t="s">
        <v>51</v>
      </c>
      <c r="AK2" s="16" t="s">
        <v>21</v>
      </c>
      <c r="AL2" s="15" t="s">
        <v>49</v>
      </c>
      <c r="AM2" s="15" t="s">
        <v>6</v>
      </c>
      <c r="AN2" s="15" t="s">
        <v>51</v>
      </c>
      <c r="AO2" s="16" t="s">
        <v>21</v>
      </c>
      <c r="AP2" s="15" t="s">
        <v>49</v>
      </c>
      <c r="AQ2" s="15" t="s">
        <v>7</v>
      </c>
      <c r="AR2" s="15" t="s">
        <v>51</v>
      </c>
      <c r="AS2" s="16" t="s">
        <v>21</v>
      </c>
      <c r="AT2" s="15" t="s">
        <v>49</v>
      </c>
      <c r="AU2" s="15" t="s">
        <v>13</v>
      </c>
      <c r="AV2" s="15" t="s">
        <v>51</v>
      </c>
      <c r="AW2" s="16" t="s">
        <v>21</v>
      </c>
      <c r="AX2" s="17" t="s">
        <v>49</v>
      </c>
    </row>
    <row r="3" spans="1:50" ht="13.5" customHeight="1" x14ac:dyDescent="0.2">
      <c r="A3" s="3" t="s">
        <v>71</v>
      </c>
      <c r="B3" s="3">
        <f>Results!$O$3</f>
        <v>3</v>
      </c>
      <c r="C3" s="11">
        <v>2</v>
      </c>
      <c r="D3" s="3">
        <f t="shared" ref="D3:D6" si="0">B3*C3</f>
        <v>6</v>
      </c>
      <c r="E3" s="3" t="s">
        <v>76</v>
      </c>
      <c r="F3" s="3">
        <f>Results!$O$8</f>
        <v>2</v>
      </c>
      <c r="G3" s="11">
        <v>2</v>
      </c>
      <c r="H3" s="3">
        <f t="shared" ref="H3:H6" si="1">F3*G3</f>
        <v>4</v>
      </c>
      <c r="I3" s="3" t="s">
        <v>80</v>
      </c>
      <c r="J3" s="3">
        <f>Results!$O$13</f>
        <v>2</v>
      </c>
      <c r="K3" s="11">
        <v>5</v>
      </c>
      <c r="L3" s="3">
        <f t="shared" ref="L3:L6" si="2">J3*K3</f>
        <v>10</v>
      </c>
      <c r="M3" s="3" t="s">
        <v>68</v>
      </c>
      <c r="N3" s="3">
        <f>Results!$O$18</f>
        <v>11</v>
      </c>
      <c r="O3" s="11">
        <v>3</v>
      </c>
      <c r="P3" s="18">
        <f>N3*O3</f>
        <v>33</v>
      </c>
      <c r="R3" s="3" t="s">
        <v>71</v>
      </c>
      <c r="S3" s="3">
        <f>Results!$O$3</f>
        <v>3</v>
      </c>
      <c r="T3" s="11">
        <v>3</v>
      </c>
      <c r="U3" s="3">
        <f t="shared" ref="U3:U6" si="3">S3*T3</f>
        <v>9</v>
      </c>
      <c r="V3" s="3" t="s">
        <v>76</v>
      </c>
      <c r="W3" s="3">
        <f>Results!$O$8</f>
        <v>2</v>
      </c>
      <c r="X3" s="11">
        <v>3</v>
      </c>
      <c r="Y3" s="3">
        <f t="shared" ref="Y3:Y6" si="4">W3*X3</f>
        <v>6</v>
      </c>
      <c r="Z3" s="3" t="s">
        <v>80</v>
      </c>
      <c r="AA3" s="3">
        <f>Results!$O$13</f>
        <v>2</v>
      </c>
      <c r="AB3" s="11">
        <v>3</v>
      </c>
      <c r="AC3" s="3">
        <f t="shared" ref="AC3:AC6" si="5">AA3*AB3</f>
        <v>6</v>
      </c>
      <c r="AD3" s="3" t="s">
        <v>68</v>
      </c>
      <c r="AE3" s="3">
        <f>Results!$O$18</f>
        <v>11</v>
      </c>
      <c r="AF3" s="11">
        <v>2</v>
      </c>
      <c r="AG3" s="18">
        <f>AE3*AF3</f>
        <v>22</v>
      </c>
      <c r="AI3" s="3" t="s">
        <v>71</v>
      </c>
      <c r="AJ3" s="3">
        <f>Results!$O$3</f>
        <v>3</v>
      </c>
      <c r="AK3" s="11">
        <v>3</v>
      </c>
      <c r="AL3" s="3">
        <f t="shared" ref="AL3:AL6" si="6">AJ3*AK3</f>
        <v>9</v>
      </c>
      <c r="AM3" s="3" t="s">
        <v>76</v>
      </c>
      <c r="AN3" s="3">
        <f>Results!$O$8</f>
        <v>2</v>
      </c>
      <c r="AO3" s="11">
        <v>2</v>
      </c>
      <c r="AP3" s="3">
        <f t="shared" ref="AP3:AP6" si="7">AN3*AO3</f>
        <v>4</v>
      </c>
      <c r="AQ3" s="3" t="s">
        <v>80</v>
      </c>
      <c r="AR3" s="3">
        <f>Results!$O$13</f>
        <v>2</v>
      </c>
      <c r="AS3" s="11">
        <v>3</v>
      </c>
      <c r="AT3" s="3">
        <f t="shared" ref="AT3:AT6" si="8">AR3*AS3</f>
        <v>6</v>
      </c>
      <c r="AU3" s="3" t="s">
        <v>68</v>
      </c>
      <c r="AV3" s="3">
        <f>Results!$O$18</f>
        <v>11</v>
      </c>
      <c r="AW3" s="11">
        <v>2</v>
      </c>
      <c r="AX3" s="18">
        <f>AV3*AW3</f>
        <v>22</v>
      </c>
    </row>
    <row r="4" spans="1:50" ht="13.5" customHeight="1" x14ac:dyDescent="0.2">
      <c r="A4" s="3" t="s">
        <v>123</v>
      </c>
      <c r="B4" s="3">
        <f>Results!$O$4</f>
        <v>-14</v>
      </c>
      <c r="C4" s="11"/>
      <c r="D4" s="3">
        <f t="shared" si="0"/>
        <v>0</v>
      </c>
      <c r="E4" s="3" t="s">
        <v>103</v>
      </c>
      <c r="F4" s="3">
        <f>Results!$O$9</f>
        <v>1</v>
      </c>
      <c r="G4" s="11"/>
      <c r="H4" s="3">
        <f t="shared" si="1"/>
        <v>0</v>
      </c>
      <c r="I4" s="3" t="s">
        <v>77</v>
      </c>
      <c r="J4" s="3">
        <f>Results!$O$14</f>
        <v>4</v>
      </c>
      <c r="K4" s="11">
        <v>2</v>
      </c>
      <c r="L4" s="3">
        <f t="shared" si="2"/>
        <v>8</v>
      </c>
      <c r="M4" s="3" t="s">
        <v>106</v>
      </c>
      <c r="N4" s="3">
        <f>Results!$O$19</f>
        <v>-7</v>
      </c>
      <c r="O4" s="11"/>
      <c r="P4" s="18">
        <f>N4*O4</f>
        <v>0</v>
      </c>
      <c r="R4" s="3" t="s">
        <v>123</v>
      </c>
      <c r="S4" s="3">
        <f>Results!$O$4</f>
        <v>-14</v>
      </c>
      <c r="T4" s="11"/>
      <c r="U4" s="3">
        <f t="shared" si="3"/>
        <v>0</v>
      </c>
      <c r="V4" s="3" t="s">
        <v>103</v>
      </c>
      <c r="W4" s="3">
        <f>Results!$O$9</f>
        <v>1</v>
      </c>
      <c r="X4" s="11"/>
      <c r="Y4" s="3">
        <f t="shared" si="4"/>
        <v>0</v>
      </c>
      <c r="Z4" s="3" t="s">
        <v>77</v>
      </c>
      <c r="AA4" s="3">
        <f>Results!$O$14</f>
        <v>4</v>
      </c>
      <c r="AB4" s="11">
        <v>2</v>
      </c>
      <c r="AC4" s="3">
        <f t="shared" si="5"/>
        <v>8</v>
      </c>
      <c r="AD4" s="3" t="s">
        <v>106</v>
      </c>
      <c r="AE4" s="3">
        <f>Results!$O$19</f>
        <v>-7</v>
      </c>
      <c r="AF4" s="11">
        <v>3</v>
      </c>
      <c r="AG4" s="18">
        <f>AE4*AF4</f>
        <v>-21</v>
      </c>
      <c r="AI4" s="3" t="s">
        <v>123</v>
      </c>
      <c r="AJ4" s="3">
        <f>Results!$O$4</f>
        <v>-14</v>
      </c>
      <c r="AK4" s="11"/>
      <c r="AL4" s="3">
        <f t="shared" si="6"/>
        <v>0</v>
      </c>
      <c r="AM4" s="3" t="s">
        <v>103</v>
      </c>
      <c r="AN4" s="3">
        <f>Results!$O$9</f>
        <v>1</v>
      </c>
      <c r="AO4" s="11">
        <v>1</v>
      </c>
      <c r="AP4" s="3">
        <f t="shared" si="7"/>
        <v>1</v>
      </c>
      <c r="AQ4" s="3" t="s">
        <v>77</v>
      </c>
      <c r="AR4" s="3">
        <f>Results!$O$14</f>
        <v>4</v>
      </c>
      <c r="AS4" s="11">
        <v>1</v>
      </c>
      <c r="AT4" s="3">
        <f t="shared" si="8"/>
        <v>4</v>
      </c>
      <c r="AU4" s="3" t="s">
        <v>106</v>
      </c>
      <c r="AV4" s="3">
        <f>Results!$O$19</f>
        <v>-7</v>
      </c>
      <c r="AW4" s="11"/>
      <c r="AX4" s="18">
        <f>AV4*AW4</f>
        <v>0</v>
      </c>
    </row>
    <row r="5" spans="1:50" ht="13.5" customHeight="1" x14ac:dyDescent="0.2">
      <c r="A5" s="3" t="s">
        <v>124</v>
      </c>
      <c r="B5" s="3">
        <f>Results!$O$5</f>
        <v>7</v>
      </c>
      <c r="C5" s="11">
        <v>3</v>
      </c>
      <c r="D5" s="3">
        <f t="shared" si="0"/>
        <v>21</v>
      </c>
      <c r="E5" s="3" t="s">
        <v>65</v>
      </c>
      <c r="F5" s="3">
        <f>Results!$O$10</f>
        <v>2</v>
      </c>
      <c r="G5" s="11">
        <v>1</v>
      </c>
      <c r="H5" s="3">
        <f t="shared" si="1"/>
        <v>2</v>
      </c>
      <c r="I5" s="3" t="s">
        <v>104</v>
      </c>
      <c r="J5" s="3">
        <f>Results!$O$15</f>
        <v>-2</v>
      </c>
      <c r="K5" s="11">
        <v>1</v>
      </c>
      <c r="L5" s="3">
        <f t="shared" si="2"/>
        <v>-2</v>
      </c>
      <c r="M5" s="3" t="s">
        <v>72</v>
      </c>
      <c r="N5" s="3">
        <f>Results!$O$20</f>
        <v>9</v>
      </c>
      <c r="O5" s="11">
        <v>2</v>
      </c>
      <c r="P5" s="18">
        <f>N5*O5</f>
        <v>18</v>
      </c>
      <c r="R5" s="3" t="s">
        <v>124</v>
      </c>
      <c r="S5" s="3">
        <f>Results!$O$5</f>
        <v>7</v>
      </c>
      <c r="T5" s="11">
        <v>1</v>
      </c>
      <c r="U5" s="3">
        <f t="shared" si="3"/>
        <v>7</v>
      </c>
      <c r="V5" s="3" t="s">
        <v>65</v>
      </c>
      <c r="W5" s="3">
        <f>Results!$O$10</f>
        <v>2</v>
      </c>
      <c r="X5" s="11">
        <v>1</v>
      </c>
      <c r="Y5" s="3">
        <f t="shared" si="4"/>
        <v>2</v>
      </c>
      <c r="Z5" s="3" t="s">
        <v>104</v>
      </c>
      <c r="AA5" s="3">
        <f>Results!$O$15</f>
        <v>-2</v>
      </c>
      <c r="AB5" s="11"/>
      <c r="AC5" s="3">
        <f t="shared" si="5"/>
        <v>0</v>
      </c>
      <c r="AD5" s="3" t="s">
        <v>72</v>
      </c>
      <c r="AE5" s="3">
        <f>Results!$O$20</f>
        <v>9</v>
      </c>
      <c r="AF5" s="11"/>
      <c r="AG5" s="18">
        <f>AE5*AF5</f>
        <v>0</v>
      </c>
      <c r="AI5" s="3" t="s">
        <v>124</v>
      </c>
      <c r="AJ5" s="3">
        <f>Results!$O$5</f>
        <v>7</v>
      </c>
      <c r="AK5" s="11">
        <v>2</v>
      </c>
      <c r="AL5" s="3">
        <f t="shared" si="6"/>
        <v>14</v>
      </c>
      <c r="AM5" s="3" t="s">
        <v>65</v>
      </c>
      <c r="AN5" s="3">
        <f>Results!$O$10</f>
        <v>2</v>
      </c>
      <c r="AO5" s="11"/>
      <c r="AP5" s="3">
        <f t="shared" si="7"/>
        <v>0</v>
      </c>
      <c r="AQ5" s="3" t="s">
        <v>104</v>
      </c>
      <c r="AR5" s="3">
        <f>Results!$O$15</f>
        <v>-2</v>
      </c>
      <c r="AS5" s="11"/>
      <c r="AT5" s="3">
        <f t="shared" si="8"/>
        <v>0</v>
      </c>
      <c r="AU5" s="3" t="s">
        <v>72</v>
      </c>
      <c r="AV5" s="3">
        <f>Results!$O$20</f>
        <v>9</v>
      </c>
      <c r="AW5" s="11">
        <v>1</v>
      </c>
      <c r="AX5" s="18">
        <f>AV5*AW5</f>
        <v>9</v>
      </c>
    </row>
    <row r="6" spans="1:50" ht="13.5" customHeight="1" x14ac:dyDescent="0.2">
      <c r="A6" s="3" t="s">
        <v>102</v>
      </c>
      <c r="B6" s="3">
        <f>Results!$O$6</f>
        <v>0</v>
      </c>
      <c r="C6" s="11">
        <v>1</v>
      </c>
      <c r="D6" s="3">
        <f t="shared" si="0"/>
        <v>0</v>
      </c>
      <c r="E6" s="3" t="s">
        <v>12</v>
      </c>
      <c r="F6" s="3">
        <f>Results!$O$11</f>
        <v>3</v>
      </c>
      <c r="G6" s="11">
        <v>3</v>
      </c>
      <c r="H6" s="3">
        <f t="shared" si="1"/>
        <v>9</v>
      </c>
      <c r="I6" s="3" t="s">
        <v>105</v>
      </c>
      <c r="J6" s="3">
        <f>Results!$O$16</f>
        <v>4</v>
      </c>
      <c r="K6" s="11">
        <v>3</v>
      </c>
      <c r="L6" s="3">
        <f t="shared" si="2"/>
        <v>12</v>
      </c>
      <c r="M6" s="3" t="s">
        <v>107</v>
      </c>
      <c r="N6" s="3">
        <f>Results!$O$21</f>
        <v>-3</v>
      </c>
      <c r="O6" s="11">
        <v>1</v>
      </c>
      <c r="P6" s="18">
        <f>N6*O6</f>
        <v>-3</v>
      </c>
      <c r="R6" s="3" t="s">
        <v>102</v>
      </c>
      <c r="S6" s="3">
        <f>Results!$O$6</f>
        <v>0</v>
      </c>
      <c r="T6" s="11">
        <v>2</v>
      </c>
      <c r="U6" s="3">
        <f t="shared" si="3"/>
        <v>0</v>
      </c>
      <c r="V6" s="3" t="s">
        <v>12</v>
      </c>
      <c r="W6" s="3">
        <f>Results!$O$11</f>
        <v>3</v>
      </c>
      <c r="X6" s="11">
        <v>2</v>
      </c>
      <c r="Y6" s="3">
        <f t="shared" si="4"/>
        <v>6</v>
      </c>
      <c r="Z6" s="3" t="s">
        <v>105</v>
      </c>
      <c r="AA6" s="3">
        <f>Results!$O$16</f>
        <v>4</v>
      </c>
      <c r="AB6" s="11">
        <v>1</v>
      </c>
      <c r="AC6" s="3">
        <f t="shared" si="5"/>
        <v>4</v>
      </c>
      <c r="AD6" s="3" t="s">
        <v>107</v>
      </c>
      <c r="AE6" s="3">
        <f>Results!$O$21</f>
        <v>-3</v>
      </c>
      <c r="AF6" s="11">
        <v>1</v>
      </c>
      <c r="AG6" s="18">
        <f>AE6*AF6</f>
        <v>-3</v>
      </c>
      <c r="AI6" s="3" t="s">
        <v>102</v>
      </c>
      <c r="AJ6" s="3">
        <f>Results!$O$6</f>
        <v>0</v>
      </c>
      <c r="AK6" s="11">
        <v>1</v>
      </c>
      <c r="AL6" s="3">
        <f t="shared" si="6"/>
        <v>0</v>
      </c>
      <c r="AM6" s="3" t="s">
        <v>12</v>
      </c>
      <c r="AN6" s="3">
        <f>Results!$O$11</f>
        <v>3</v>
      </c>
      <c r="AO6" s="11">
        <v>3</v>
      </c>
      <c r="AP6" s="3">
        <f t="shared" si="7"/>
        <v>9</v>
      </c>
      <c r="AQ6" s="3" t="s">
        <v>105</v>
      </c>
      <c r="AR6" s="3">
        <f>Results!$O$16</f>
        <v>4</v>
      </c>
      <c r="AS6" s="11">
        <v>2</v>
      </c>
      <c r="AT6" s="3">
        <f t="shared" si="8"/>
        <v>8</v>
      </c>
      <c r="AU6" s="3" t="s">
        <v>107</v>
      </c>
      <c r="AV6" s="3">
        <f>Results!$O$21</f>
        <v>-3</v>
      </c>
      <c r="AW6" s="11">
        <v>3</v>
      </c>
      <c r="AX6" s="18">
        <f>AV6*AW6</f>
        <v>-9</v>
      </c>
    </row>
    <row r="7" spans="1:50" ht="13.5" customHeight="1" x14ac:dyDescent="0.2">
      <c r="A7" s="14" t="s">
        <v>14</v>
      </c>
      <c r="B7" s="15" t="s">
        <v>51</v>
      </c>
      <c r="C7" s="16" t="s">
        <v>21</v>
      </c>
      <c r="D7" s="15" t="s">
        <v>49</v>
      </c>
      <c r="E7" s="15" t="s">
        <v>15</v>
      </c>
      <c r="F7" s="15" t="s">
        <v>51</v>
      </c>
      <c r="G7" s="16" t="s">
        <v>21</v>
      </c>
      <c r="H7" s="15" t="s">
        <v>49</v>
      </c>
      <c r="I7" s="15" t="s">
        <v>78</v>
      </c>
      <c r="J7" s="15" t="s">
        <v>51</v>
      </c>
      <c r="K7" s="16" t="s">
        <v>21</v>
      </c>
      <c r="L7" s="15" t="s">
        <v>49</v>
      </c>
      <c r="M7" s="15" t="s">
        <v>79</v>
      </c>
      <c r="N7" s="15" t="s">
        <v>51</v>
      </c>
      <c r="O7" s="16" t="s">
        <v>21</v>
      </c>
      <c r="P7" s="15" t="s">
        <v>49</v>
      </c>
      <c r="R7" s="14" t="s">
        <v>14</v>
      </c>
      <c r="S7" s="15" t="s">
        <v>51</v>
      </c>
      <c r="T7" s="16" t="s">
        <v>21</v>
      </c>
      <c r="U7" s="15" t="s">
        <v>49</v>
      </c>
      <c r="V7" s="15" t="s">
        <v>15</v>
      </c>
      <c r="W7" s="15" t="s">
        <v>51</v>
      </c>
      <c r="X7" s="16" t="s">
        <v>21</v>
      </c>
      <c r="Y7" s="15" t="s">
        <v>49</v>
      </c>
      <c r="Z7" s="15" t="s">
        <v>78</v>
      </c>
      <c r="AA7" s="15" t="s">
        <v>51</v>
      </c>
      <c r="AB7" s="16" t="s">
        <v>21</v>
      </c>
      <c r="AC7" s="15" t="s">
        <v>49</v>
      </c>
      <c r="AD7" s="15" t="s">
        <v>79</v>
      </c>
      <c r="AE7" s="15" t="s">
        <v>51</v>
      </c>
      <c r="AF7" s="16" t="s">
        <v>21</v>
      </c>
      <c r="AG7" s="15" t="s">
        <v>49</v>
      </c>
      <c r="AI7" s="14" t="s">
        <v>14</v>
      </c>
      <c r="AJ7" s="15" t="s">
        <v>51</v>
      </c>
      <c r="AK7" s="16" t="s">
        <v>21</v>
      </c>
      <c r="AL7" s="15" t="s">
        <v>49</v>
      </c>
      <c r="AM7" s="15" t="s">
        <v>15</v>
      </c>
      <c r="AN7" s="15" t="s">
        <v>51</v>
      </c>
      <c r="AO7" s="16" t="s">
        <v>21</v>
      </c>
      <c r="AP7" s="15" t="s">
        <v>49</v>
      </c>
      <c r="AQ7" s="15" t="s">
        <v>78</v>
      </c>
      <c r="AR7" s="15" t="s">
        <v>51</v>
      </c>
      <c r="AS7" s="16" t="s">
        <v>21</v>
      </c>
      <c r="AT7" s="15" t="s">
        <v>49</v>
      </c>
      <c r="AU7" s="15" t="s">
        <v>79</v>
      </c>
      <c r="AV7" s="15" t="s">
        <v>51</v>
      </c>
      <c r="AW7" s="16" t="s">
        <v>21</v>
      </c>
      <c r="AX7" s="15" t="s">
        <v>49</v>
      </c>
    </row>
    <row r="8" spans="1:50" ht="13.5" customHeight="1" x14ac:dyDescent="0.2">
      <c r="A8" s="3" t="s">
        <v>11</v>
      </c>
      <c r="B8" s="3">
        <f>Results!$O$23</f>
        <v>18</v>
      </c>
      <c r="C8" s="11">
        <v>3</v>
      </c>
      <c r="D8" s="3">
        <f t="shared" ref="D8:D11" si="9">B8*C8</f>
        <v>54</v>
      </c>
      <c r="E8" s="3" t="s">
        <v>57</v>
      </c>
      <c r="F8" s="3">
        <f>Results!$O$28</f>
        <v>2</v>
      </c>
      <c r="G8" s="11">
        <v>3</v>
      </c>
      <c r="H8" s="3">
        <f t="shared" ref="H8:H11" si="10">F8*G8</f>
        <v>6</v>
      </c>
      <c r="I8" s="3" t="s">
        <v>18</v>
      </c>
      <c r="J8" s="3">
        <f>Results!$O$33</f>
        <v>2</v>
      </c>
      <c r="K8" s="11">
        <v>3</v>
      </c>
      <c r="L8" s="3">
        <f t="shared" ref="L8:L11" si="11">J8*K8</f>
        <v>6</v>
      </c>
      <c r="M8" s="3" t="s">
        <v>17</v>
      </c>
      <c r="N8" s="3">
        <f>Results!$O$38</f>
        <v>2</v>
      </c>
      <c r="O8" s="11">
        <v>3</v>
      </c>
      <c r="P8" s="3">
        <f t="shared" ref="P8:P11" si="12">N8*O8</f>
        <v>6</v>
      </c>
      <c r="R8" s="3" t="s">
        <v>11</v>
      </c>
      <c r="S8" s="3">
        <f>Results!$O$23</f>
        <v>18</v>
      </c>
      <c r="T8" s="11">
        <v>3</v>
      </c>
      <c r="U8" s="3">
        <f t="shared" ref="U8:U11" si="13">S8*T8</f>
        <v>54</v>
      </c>
      <c r="V8" s="3" t="s">
        <v>57</v>
      </c>
      <c r="W8" s="3">
        <f>Results!$O$28</f>
        <v>2</v>
      </c>
      <c r="X8" s="11">
        <v>3</v>
      </c>
      <c r="Y8" s="3">
        <f t="shared" ref="Y8:Y11" si="14">W8*X8</f>
        <v>6</v>
      </c>
      <c r="Z8" s="3" t="s">
        <v>18</v>
      </c>
      <c r="AA8" s="3">
        <f>Results!$O$33</f>
        <v>2</v>
      </c>
      <c r="AB8" s="11">
        <v>3</v>
      </c>
      <c r="AC8" s="3">
        <f t="shared" ref="AC8:AC11" si="15">AA8*AB8</f>
        <v>6</v>
      </c>
      <c r="AD8" s="3" t="s">
        <v>17</v>
      </c>
      <c r="AE8" s="3">
        <f>Results!$O$38</f>
        <v>2</v>
      </c>
      <c r="AF8" s="11">
        <v>3</v>
      </c>
      <c r="AG8" s="3">
        <f t="shared" ref="AG8:AG11" si="16">AE8*AF8</f>
        <v>6</v>
      </c>
      <c r="AI8" s="3" t="s">
        <v>11</v>
      </c>
      <c r="AJ8" s="3">
        <f>Results!$O$23</f>
        <v>18</v>
      </c>
      <c r="AK8" s="11">
        <v>3</v>
      </c>
      <c r="AL8" s="3">
        <f t="shared" ref="AL8:AL11" si="17">AJ8*AK8</f>
        <v>54</v>
      </c>
      <c r="AM8" s="3" t="s">
        <v>57</v>
      </c>
      <c r="AN8" s="3">
        <f>Results!$O$28</f>
        <v>2</v>
      </c>
      <c r="AO8" s="11">
        <v>3</v>
      </c>
      <c r="AP8" s="3">
        <f t="shared" ref="AP8:AP11" si="18">AN8*AO8</f>
        <v>6</v>
      </c>
      <c r="AQ8" s="3" t="s">
        <v>18</v>
      </c>
      <c r="AR8" s="3">
        <f>Results!$O$33</f>
        <v>2</v>
      </c>
      <c r="AS8" s="11">
        <v>3</v>
      </c>
      <c r="AT8" s="3">
        <f t="shared" ref="AT8:AT11" si="19">AR8*AS8</f>
        <v>6</v>
      </c>
      <c r="AU8" s="3" t="s">
        <v>17</v>
      </c>
      <c r="AV8" s="3">
        <f>Results!$O$38</f>
        <v>2</v>
      </c>
      <c r="AW8" s="11">
        <v>3</v>
      </c>
      <c r="AX8" s="3">
        <f t="shared" ref="AX8:AX11" si="20">AV8*AW8</f>
        <v>6</v>
      </c>
    </row>
    <row r="9" spans="1:50" ht="13.5" customHeight="1" x14ac:dyDescent="0.2">
      <c r="A9" s="3" t="s">
        <v>108</v>
      </c>
      <c r="B9" s="3">
        <f>Results!$O$24</f>
        <v>-5</v>
      </c>
      <c r="C9" s="11"/>
      <c r="D9" s="3">
        <f t="shared" si="9"/>
        <v>0</v>
      </c>
      <c r="E9" s="3" t="s">
        <v>75</v>
      </c>
      <c r="F9" s="3">
        <f>Results!$O$29</f>
        <v>5</v>
      </c>
      <c r="G9" s="11">
        <v>1</v>
      </c>
      <c r="H9" s="3">
        <f t="shared" si="10"/>
        <v>5</v>
      </c>
      <c r="I9" s="3" t="s">
        <v>111</v>
      </c>
      <c r="J9" s="3">
        <f>Results!$O$34</f>
        <v>2</v>
      </c>
      <c r="K9" s="11">
        <v>2</v>
      </c>
      <c r="L9" s="3">
        <f t="shared" si="11"/>
        <v>4</v>
      </c>
      <c r="M9" s="3" t="s">
        <v>113</v>
      </c>
      <c r="N9" s="3">
        <f>Results!$O$39</f>
        <v>2</v>
      </c>
      <c r="O9" s="11"/>
      <c r="P9" s="3">
        <f t="shared" si="12"/>
        <v>0</v>
      </c>
      <c r="R9" s="3" t="s">
        <v>108</v>
      </c>
      <c r="S9" s="3">
        <f>Results!$O$24</f>
        <v>-5</v>
      </c>
      <c r="T9" s="11"/>
      <c r="U9" s="3">
        <f t="shared" si="13"/>
        <v>0</v>
      </c>
      <c r="V9" s="3" t="s">
        <v>75</v>
      </c>
      <c r="W9" s="3">
        <f>Results!$O$29</f>
        <v>5</v>
      </c>
      <c r="X9" s="11">
        <v>1</v>
      </c>
      <c r="Y9" s="3">
        <f t="shared" si="14"/>
        <v>5</v>
      </c>
      <c r="Z9" s="3" t="s">
        <v>111</v>
      </c>
      <c r="AA9" s="3">
        <f>Results!$O$34</f>
        <v>2</v>
      </c>
      <c r="AB9" s="11">
        <v>2</v>
      </c>
      <c r="AC9" s="3">
        <f t="shared" si="15"/>
        <v>4</v>
      </c>
      <c r="AD9" s="3" t="s">
        <v>113</v>
      </c>
      <c r="AE9" s="3">
        <f>Results!$O$39</f>
        <v>2</v>
      </c>
      <c r="AF9" s="11"/>
      <c r="AG9" s="3">
        <f t="shared" si="16"/>
        <v>0</v>
      </c>
      <c r="AI9" s="3" t="s">
        <v>108</v>
      </c>
      <c r="AJ9" s="3">
        <f>Results!$O$24</f>
        <v>-5</v>
      </c>
      <c r="AK9" s="11"/>
      <c r="AL9" s="3">
        <f t="shared" si="17"/>
        <v>0</v>
      </c>
      <c r="AM9" s="3" t="s">
        <v>75</v>
      </c>
      <c r="AN9" s="3">
        <f>Results!$O$29</f>
        <v>5</v>
      </c>
      <c r="AO9" s="11">
        <v>2</v>
      </c>
      <c r="AP9" s="3">
        <f t="shared" si="18"/>
        <v>10</v>
      </c>
      <c r="AQ9" s="3" t="s">
        <v>111</v>
      </c>
      <c r="AR9" s="3">
        <f>Results!$O$34</f>
        <v>2</v>
      </c>
      <c r="AS9" s="11">
        <v>2</v>
      </c>
      <c r="AT9" s="3">
        <f t="shared" si="19"/>
        <v>4</v>
      </c>
      <c r="AU9" s="3" t="s">
        <v>113</v>
      </c>
      <c r="AV9" s="3">
        <f>Results!$O$39</f>
        <v>2</v>
      </c>
      <c r="AW9" s="11"/>
      <c r="AX9" s="3">
        <f t="shared" si="20"/>
        <v>0</v>
      </c>
    </row>
    <row r="10" spans="1:50" ht="13.5" customHeight="1" x14ac:dyDescent="0.2">
      <c r="A10" s="3" t="s">
        <v>109</v>
      </c>
      <c r="B10" s="3">
        <f>Results!$O$25</f>
        <v>4</v>
      </c>
      <c r="C10" s="11">
        <v>1</v>
      </c>
      <c r="D10" s="3">
        <f t="shared" si="9"/>
        <v>4</v>
      </c>
      <c r="E10" s="3" t="s">
        <v>110</v>
      </c>
      <c r="F10" s="3">
        <f>Results!$O$30</f>
        <v>14</v>
      </c>
      <c r="G10" s="11">
        <v>2</v>
      </c>
      <c r="H10" s="3">
        <f t="shared" si="10"/>
        <v>28</v>
      </c>
      <c r="I10" s="3" t="s">
        <v>67</v>
      </c>
      <c r="J10" s="3">
        <f>Results!$O$35</f>
        <v>4</v>
      </c>
      <c r="K10" s="11">
        <v>1</v>
      </c>
      <c r="L10" s="3">
        <f t="shared" si="11"/>
        <v>4</v>
      </c>
      <c r="M10" s="3" t="s">
        <v>70</v>
      </c>
      <c r="N10" s="3">
        <f>Results!$O$40</f>
        <v>3</v>
      </c>
      <c r="O10" s="11">
        <v>1</v>
      </c>
      <c r="P10" s="3">
        <f t="shared" si="12"/>
        <v>3</v>
      </c>
      <c r="R10" s="3" t="s">
        <v>109</v>
      </c>
      <c r="S10" s="3">
        <f>Results!$O$25</f>
        <v>4</v>
      </c>
      <c r="T10" s="11">
        <v>1</v>
      </c>
      <c r="U10" s="3">
        <f t="shared" si="13"/>
        <v>4</v>
      </c>
      <c r="V10" s="3" t="s">
        <v>110</v>
      </c>
      <c r="W10" s="3">
        <f>Results!$O$30</f>
        <v>14</v>
      </c>
      <c r="X10" s="11">
        <v>2</v>
      </c>
      <c r="Y10" s="3">
        <f t="shared" si="14"/>
        <v>28</v>
      </c>
      <c r="Z10" s="3" t="s">
        <v>67</v>
      </c>
      <c r="AA10" s="3">
        <f>Results!$O$35</f>
        <v>4</v>
      </c>
      <c r="AB10" s="11">
        <v>1</v>
      </c>
      <c r="AC10" s="3">
        <f t="shared" si="15"/>
        <v>4</v>
      </c>
      <c r="AD10" s="3" t="s">
        <v>70</v>
      </c>
      <c r="AE10" s="3">
        <f>Results!$O$40</f>
        <v>3</v>
      </c>
      <c r="AF10" s="11">
        <v>1</v>
      </c>
      <c r="AG10" s="3">
        <f t="shared" si="16"/>
        <v>3</v>
      </c>
      <c r="AI10" s="3" t="s">
        <v>109</v>
      </c>
      <c r="AJ10" s="3">
        <f>Results!$O$25</f>
        <v>4</v>
      </c>
      <c r="AK10" s="11">
        <v>1</v>
      </c>
      <c r="AL10" s="3">
        <f t="shared" si="17"/>
        <v>4</v>
      </c>
      <c r="AM10" s="3" t="s">
        <v>110</v>
      </c>
      <c r="AN10" s="3">
        <f>Results!$O$30</f>
        <v>14</v>
      </c>
      <c r="AO10" s="11">
        <v>1</v>
      </c>
      <c r="AP10" s="3">
        <f t="shared" si="18"/>
        <v>14</v>
      </c>
      <c r="AQ10" s="3" t="s">
        <v>67</v>
      </c>
      <c r="AR10" s="3">
        <f>Results!$O$35</f>
        <v>4</v>
      </c>
      <c r="AS10" s="11"/>
      <c r="AT10" s="3">
        <f t="shared" si="19"/>
        <v>0</v>
      </c>
      <c r="AU10" s="3" t="s">
        <v>70</v>
      </c>
      <c r="AV10" s="3">
        <f>Results!$O$40</f>
        <v>3</v>
      </c>
      <c r="AW10" s="11">
        <v>1</v>
      </c>
      <c r="AX10" s="3">
        <f t="shared" si="20"/>
        <v>3</v>
      </c>
    </row>
    <row r="11" spans="1:50" ht="13.5" customHeight="1" x14ac:dyDescent="0.2">
      <c r="A11" s="24" t="s">
        <v>91</v>
      </c>
      <c r="B11" s="24">
        <f>Results!$O$26</f>
        <v>-2</v>
      </c>
      <c r="C11" s="25">
        <v>2</v>
      </c>
      <c r="D11" s="24">
        <f t="shared" si="9"/>
        <v>-4</v>
      </c>
      <c r="E11" s="24" t="s">
        <v>73</v>
      </c>
      <c r="F11" s="24">
        <f>Results!$O$31</f>
        <v>-4</v>
      </c>
      <c r="G11" s="25"/>
      <c r="H11" s="24">
        <f t="shared" si="10"/>
        <v>0</v>
      </c>
      <c r="I11" s="24" t="s">
        <v>112</v>
      </c>
      <c r="J11" s="24">
        <f>Results!$O$36</f>
        <v>5</v>
      </c>
      <c r="K11" s="25"/>
      <c r="L11" s="24">
        <f t="shared" si="11"/>
        <v>0</v>
      </c>
      <c r="M11" s="24" t="s">
        <v>84</v>
      </c>
      <c r="N11" s="24">
        <f>Results!$O$41</f>
        <v>4</v>
      </c>
      <c r="O11" s="25">
        <v>2</v>
      </c>
      <c r="P11" s="24">
        <f t="shared" si="12"/>
        <v>8</v>
      </c>
      <c r="R11" s="24" t="s">
        <v>91</v>
      </c>
      <c r="S11" s="24">
        <f>Results!$O$26</f>
        <v>-2</v>
      </c>
      <c r="T11" s="25">
        <v>2</v>
      </c>
      <c r="U11" s="24">
        <f t="shared" si="13"/>
        <v>-4</v>
      </c>
      <c r="V11" s="24" t="s">
        <v>73</v>
      </c>
      <c r="W11" s="24">
        <f>Results!$O$31</f>
        <v>-4</v>
      </c>
      <c r="X11" s="25"/>
      <c r="Y11" s="24">
        <f t="shared" si="14"/>
        <v>0</v>
      </c>
      <c r="Z11" s="24" t="s">
        <v>112</v>
      </c>
      <c r="AA11" s="24">
        <f>Results!$O$36</f>
        <v>5</v>
      </c>
      <c r="AB11" s="25"/>
      <c r="AC11" s="24">
        <f t="shared" si="15"/>
        <v>0</v>
      </c>
      <c r="AD11" s="24" t="s">
        <v>84</v>
      </c>
      <c r="AE11" s="24">
        <f>Results!$O$41</f>
        <v>4</v>
      </c>
      <c r="AF11" s="25">
        <v>2</v>
      </c>
      <c r="AG11" s="24">
        <f t="shared" si="16"/>
        <v>8</v>
      </c>
      <c r="AI11" s="24" t="s">
        <v>91</v>
      </c>
      <c r="AJ11" s="24">
        <f>Results!$O$26</f>
        <v>-2</v>
      </c>
      <c r="AK11" s="25">
        <v>2</v>
      </c>
      <c r="AL11" s="24">
        <f t="shared" si="17"/>
        <v>-4</v>
      </c>
      <c r="AM11" s="24" t="s">
        <v>73</v>
      </c>
      <c r="AN11" s="24">
        <f>Results!$O$31</f>
        <v>-4</v>
      </c>
      <c r="AO11" s="25"/>
      <c r="AP11" s="24">
        <f t="shared" si="18"/>
        <v>0</v>
      </c>
      <c r="AQ11" s="24" t="s">
        <v>112</v>
      </c>
      <c r="AR11" s="24">
        <f>Results!$O$36</f>
        <v>5</v>
      </c>
      <c r="AS11" s="25">
        <v>1</v>
      </c>
      <c r="AT11" s="24">
        <f t="shared" si="19"/>
        <v>5</v>
      </c>
      <c r="AU11" s="24" t="s">
        <v>84</v>
      </c>
      <c r="AV11" s="24">
        <f>Results!$O$41</f>
        <v>4</v>
      </c>
      <c r="AW11" s="25">
        <v>2</v>
      </c>
      <c r="AX11" s="24">
        <f t="shared" si="20"/>
        <v>8</v>
      </c>
    </row>
    <row r="12" spans="1:50" ht="13.5" customHeight="1" x14ac:dyDescent="0.2">
      <c r="A12" s="14" t="s">
        <v>97</v>
      </c>
      <c r="B12" s="15" t="s">
        <v>51</v>
      </c>
      <c r="C12" s="16" t="s">
        <v>21</v>
      </c>
      <c r="D12" s="15" t="s">
        <v>49</v>
      </c>
      <c r="E12" s="15" t="s">
        <v>98</v>
      </c>
      <c r="F12" s="15" t="s">
        <v>51</v>
      </c>
      <c r="G12" s="16" t="s">
        <v>21</v>
      </c>
      <c r="H12" s="15" t="s">
        <v>49</v>
      </c>
      <c r="I12" s="15" t="s">
        <v>99</v>
      </c>
      <c r="J12" s="15" t="s">
        <v>51</v>
      </c>
      <c r="K12" s="16" t="s">
        <v>21</v>
      </c>
      <c r="L12" s="15" t="s">
        <v>49</v>
      </c>
      <c r="M12" s="15" t="s">
        <v>100</v>
      </c>
      <c r="N12" s="15" t="s">
        <v>51</v>
      </c>
      <c r="O12" s="16" t="s">
        <v>21</v>
      </c>
      <c r="P12" s="15" t="s">
        <v>49</v>
      </c>
      <c r="R12" s="14" t="s">
        <v>97</v>
      </c>
      <c r="S12" s="15" t="s">
        <v>51</v>
      </c>
      <c r="T12" s="16" t="s">
        <v>21</v>
      </c>
      <c r="U12" s="15" t="s">
        <v>49</v>
      </c>
      <c r="V12" s="15" t="s">
        <v>98</v>
      </c>
      <c r="W12" s="15" t="s">
        <v>51</v>
      </c>
      <c r="X12" s="16" t="s">
        <v>21</v>
      </c>
      <c r="Y12" s="15" t="s">
        <v>49</v>
      </c>
      <c r="Z12" s="15" t="s">
        <v>99</v>
      </c>
      <c r="AA12" s="15" t="s">
        <v>51</v>
      </c>
      <c r="AB12" s="16" t="s">
        <v>21</v>
      </c>
      <c r="AC12" s="15" t="s">
        <v>49</v>
      </c>
      <c r="AD12" s="15" t="s">
        <v>100</v>
      </c>
      <c r="AE12" s="15" t="s">
        <v>51</v>
      </c>
      <c r="AF12" s="16" t="s">
        <v>21</v>
      </c>
      <c r="AG12" s="15" t="s">
        <v>49</v>
      </c>
      <c r="AI12" s="14" t="s">
        <v>97</v>
      </c>
      <c r="AJ12" s="15" t="s">
        <v>51</v>
      </c>
      <c r="AK12" s="16" t="s">
        <v>21</v>
      </c>
      <c r="AL12" s="15" t="s">
        <v>49</v>
      </c>
      <c r="AM12" s="15" t="s">
        <v>98</v>
      </c>
      <c r="AN12" s="15" t="s">
        <v>51</v>
      </c>
      <c r="AO12" s="16" t="s">
        <v>21</v>
      </c>
      <c r="AP12" s="15" t="s">
        <v>49</v>
      </c>
      <c r="AQ12" s="15" t="s">
        <v>99</v>
      </c>
      <c r="AR12" s="15" t="s">
        <v>51</v>
      </c>
      <c r="AS12" s="16" t="s">
        <v>21</v>
      </c>
      <c r="AT12" s="15" t="s">
        <v>49</v>
      </c>
      <c r="AU12" s="15" t="s">
        <v>100</v>
      </c>
      <c r="AV12" s="15" t="s">
        <v>51</v>
      </c>
      <c r="AW12" s="16" t="s">
        <v>21</v>
      </c>
      <c r="AX12" s="15" t="s">
        <v>49</v>
      </c>
    </row>
    <row r="13" spans="1:50" ht="13.5" customHeight="1" x14ac:dyDescent="0.2">
      <c r="A13" s="3" t="s">
        <v>8</v>
      </c>
      <c r="B13" s="3">
        <f>Results!$O$43</f>
        <v>10</v>
      </c>
      <c r="C13" s="11">
        <v>3</v>
      </c>
      <c r="D13" s="3">
        <f t="shared" ref="D13:D16" si="21">B13*C13</f>
        <v>30</v>
      </c>
      <c r="E13" s="3" t="s">
        <v>69</v>
      </c>
      <c r="F13" s="3">
        <f>Results!$O$48</f>
        <v>11</v>
      </c>
      <c r="G13" s="11">
        <v>3</v>
      </c>
      <c r="H13" s="3">
        <f t="shared" ref="H13:H16" si="22">F13*G13</f>
        <v>33</v>
      </c>
      <c r="I13" s="3" t="s">
        <v>19</v>
      </c>
      <c r="J13" s="3">
        <f>Results!$O$53</f>
        <v>1</v>
      </c>
      <c r="K13" s="11">
        <v>3</v>
      </c>
      <c r="L13" s="3">
        <f t="shared" ref="L13:L16" si="23">J13*K13</f>
        <v>3</v>
      </c>
      <c r="M13" s="3" t="s">
        <v>10</v>
      </c>
      <c r="N13" s="3">
        <f>Results!$O$58</f>
        <v>11</v>
      </c>
      <c r="O13" s="11">
        <v>3</v>
      </c>
      <c r="P13" s="3">
        <f t="shared" ref="P13:P16" si="24">N13*O13</f>
        <v>33</v>
      </c>
      <c r="R13" s="3" t="s">
        <v>8</v>
      </c>
      <c r="S13" s="3">
        <f>Results!$O$43</f>
        <v>10</v>
      </c>
      <c r="T13" s="11">
        <v>5</v>
      </c>
      <c r="U13" s="3">
        <f t="shared" ref="U13:U16" si="25">S13*T13</f>
        <v>50</v>
      </c>
      <c r="V13" s="3" t="s">
        <v>69</v>
      </c>
      <c r="W13" s="3">
        <f>Results!$O$48</f>
        <v>11</v>
      </c>
      <c r="X13" s="11">
        <v>3</v>
      </c>
      <c r="Y13" s="3">
        <f t="shared" ref="Y13:Y16" si="26">W13*X13</f>
        <v>33</v>
      </c>
      <c r="Z13" s="3" t="s">
        <v>19</v>
      </c>
      <c r="AA13" s="3">
        <f>Results!$O$53</f>
        <v>1</v>
      </c>
      <c r="AB13" s="11">
        <v>3</v>
      </c>
      <c r="AC13" s="3">
        <f t="shared" ref="AC13:AC16" si="27">AA13*AB13</f>
        <v>3</v>
      </c>
      <c r="AD13" s="3" t="s">
        <v>10</v>
      </c>
      <c r="AE13" s="3">
        <f>Results!$O$58</f>
        <v>11</v>
      </c>
      <c r="AF13" s="11">
        <v>3</v>
      </c>
      <c r="AG13" s="3">
        <f t="shared" ref="AG13:AG16" si="28">AE13*AF13</f>
        <v>33</v>
      </c>
      <c r="AI13" s="3" t="s">
        <v>8</v>
      </c>
      <c r="AJ13" s="3">
        <f>Results!$O$43</f>
        <v>10</v>
      </c>
      <c r="AK13" s="11">
        <v>5</v>
      </c>
      <c r="AL13" s="3">
        <f t="shared" ref="AL13:AL16" si="29">AJ13*AK13</f>
        <v>50</v>
      </c>
      <c r="AM13" s="3" t="s">
        <v>69</v>
      </c>
      <c r="AN13" s="3">
        <f>Results!$O$48</f>
        <v>11</v>
      </c>
      <c r="AO13" s="11">
        <v>3</v>
      </c>
      <c r="AP13" s="3">
        <f t="shared" ref="AP13:AP16" si="30">AN13*AO13</f>
        <v>33</v>
      </c>
      <c r="AQ13" s="3" t="s">
        <v>19</v>
      </c>
      <c r="AR13" s="3">
        <f>Results!$O$53</f>
        <v>1</v>
      </c>
      <c r="AS13" s="11">
        <v>3</v>
      </c>
      <c r="AT13" s="3">
        <f t="shared" ref="AT13:AT16" si="31">AR13*AS13</f>
        <v>3</v>
      </c>
      <c r="AU13" s="3" t="s">
        <v>10</v>
      </c>
      <c r="AV13" s="3">
        <f>Results!$O$58</f>
        <v>11</v>
      </c>
      <c r="AW13" s="11">
        <v>3</v>
      </c>
      <c r="AX13" s="3">
        <f t="shared" ref="AX13:AX16" si="32">AV13*AW13</f>
        <v>33</v>
      </c>
    </row>
    <row r="14" spans="1:50" ht="13.5" customHeight="1" x14ac:dyDescent="0.2">
      <c r="A14" s="3" t="s">
        <v>66</v>
      </c>
      <c r="B14" s="3">
        <f>Results!$O$44</f>
        <v>-1</v>
      </c>
      <c r="C14" s="11">
        <v>1</v>
      </c>
      <c r="D14" s="3">
        <f t="shared" si="21"/>
        <v>-1</v>
      </c>
      <c r="E14" s="3" t="s">
        <v>116</v>
      </c>
      <c r="F14" s="3">
        <f>Results!$O$49</f>
        <v>-3</v>
      </c>
      <c r="G14" s="11">
        <v>2</v>
      </c>
      <c r="H14" s="3">
        <f t="shared" si="22"/>
        <v>-6</v>
      </c>
      <c r="I14" s="3" t="s">
        <v>119</v>
      </c>
      <c r="J14" s="3">
        <f>Results!$O$54</f>
        <v>3</v>
      </c>
      <c r="K14" s="11">
        <v>1</v>
      </c>
      <c r="L14" s="3">
        <f t="shared" si="23"/>
        <v>3</v>
      </c>
      <c r="M14" s="3" t="s">
        <v>16</v>
      </c>
      <c r="N14" s="3">
        <f>Results!$O$59</f>
        <v>0</v>
      </c>
      <c r="O14" s="11">
        <v>2</v>
      </c>
      <c r="P14" s="3">
        <f t="shared" si="24"/>
        <v>0</v>
      </c>
      <c r="R14" s="3" t="s">
        <v>66</v>
      </c>
      <c r="S14" s="3">
        <f>Results!$O$44</f>
        <v>-1</v>
      </c>
      <c r="T14" s="11">
        <v>2</v>
      </c>
      <c r="U14" s="3">
        <f t="shared" si="25"/>
        <v>-2</v>
      </c>
      <c r="V14" s="3" t="s">
        <v>116</v>
      </c>
      <c r="W14" s="3">
        <f>Results!$O$49</f>
        <v>-3</v>
      </c>
      <c r="X14" s="11">
        <v>1</v>
      </c>
      <c r="Y14" s="3">
        <f t="shared" si="26"/>
        <v>-3</v>
      </c>
      <c r="Z14" s="3" t="s">
        <v>119</v>
      </c>
      <c r="AA14" s="3">
        <f>Results!$O$54</f>
        <v>3</v>
      </c>
      <c r="AB14" s="11"/>
      <c r="AC14" s="3">
        <f t="shared" si="27"/>
        <v>0</v>
      </c>
      <c r="AD14" s="3" t="s">
        <v>16</v>
      </c>
      <c r="AE14" s="3">
        <f>Results!$O$59</f>
        <v>0</v>
      </c>
      <c r="AF14" s="11">
        <v>1</v>
      </c>
      <c r="AG14" s="3">
        <f t="shared" si="28"/>
        <v>0</v>
      </c>
      <c r="AI14" s="3" t="s">
        <v>66</v>
      </c>
      <c r="AJ14" s="3">
        <f>Results!$O$44</f>
        <v>-1</v>
      </c>
      <c r="AK14" s="11">
        <v>2</v>
      </c>
      <c r="AL14" s="3">
        <f t="shared" si="29"/>
        <v>-2</v>
      </c>
      <c r="AM14" s="3" t="s">
        <v>116</v>
      </c>
      <c r="AN14" s="3">
        <f>Results!$O$49</f>
        <v>-3</v>
      </c>
      <c r="AO14" s="11">
        <v>2</v>
      </c>
      <c r="AP14" s="3">
        <f t="shared" si="30"/>
        <v>-6</v>
      </c>
      <c r="AQ14" s="3" t="s">
        <v>119</v>
      </c>
      <c r="AR14" s="3">
        <f>Results!$O$54</f>
        <v>3</v>
      </c>
      <c r="AS14" s="11">
        <v>1</v>
      </c>
      <c r="AT14" s="3">
        <f t="shared" si="31"/>
        <v>3</v>
      </c>
      <c r="AU14" s="3" t="s">
        <v>16</v>
      </c>
      <c r="AV14" s="3">
        <f>Results!$O$59</f>
        <v>0</v>
      </c>
      <c r="AW14" s="11">
        <v>2</v>
      </c>
      <c r="AX14" s="3">
        <f t="shared" si="32"/>
        <v>0</v>
      </c>
    </row>
    <row r="15" spans="1:50" ht="13.5" customHeight="1" x14ac:dyDescent="0.2">
      <c r="A15" s="3" t="s">
        <v>114</v>
      </c>
      <c r="B15" s="3">
        <f>Results!$O$45</f>
        <v>-3</v>
      </c>
      <c r="C15" s="11"/>
      <c r="D15" s="3">
        <f t="shared" si="21"/>
        <v>0</v>
      </c>
      <c r="E15" s="3" t="s">
        <v>117</v>
      </c>
      <c r="F15" s="3">
        <f>Results!$O$50</f>
        <v>9</v>
      </c>
      <c r="G15" s="11">
        <v>1</v>
      </c>
      <c r="H15" s="3">
        <f t="shared" si="22"/>
        <v>9</v>
      </c>
      <c r="I15" s="3" t="s">
        <v>120</v>
      </c>
      <c r="J15" s="3">
        <f>Results!$O$55</f>
        <v>-2</v>
      </c>
      <c r="K15" s="11"/>
      <c r="L15" s="3">
        <f t="shared" si="23"/>
        <v>0</v>
      </c>
      <c r="M15" s="3" t="s">
        <v>83</v>
      </c>
      <c r="N15" s="3">
        <f>Results!$O$60</f>
        <v>6</v>
      </c>
      <c r="O15" s="11">
        <v>1</v>
      </c>
      <c r="P15" s="3">
        <f t="shared" si="24"/>
        <v>6</v>
      </c>
      <c r="R15" s="3" t="s">
        <v>114</v>
      </c>
      <c r="S15" s="3">
        <f>Results!$O$45</f>
        <v>-3</v>
      </c>
      <c r="T15" s="11">
        <v>1</v>
      </c>
      <c r="U15" s="3">
        <f t="shared" si="25"/>
        <v>-3</v>
      </c>
      <c r="V15" s="3" t="s">
        <v>117</v>
      </c>
      <c r="W15" s="3">
        <f>Results!$O$50</f>
        <v>9</v>
      </c>
      <c r="X15" s="11">
        <v>2</v>
      </c>
      <c r="Y15" s="3">
        <f t="shared" si="26"/>
        <v>18</v>
      </c>
      <c r="Z15" s="3" t="s">
        <v>120</v>
      </c>
      <c r="AA15" s="3">
        <f>Results!$O$55</f>
        <v>-2</v>
      </c>
      <c r="AB15" s="11">
        <v>1</v>
      </c>
      <c r="AC15" s="3">
        <f t="shared" si="27"/>
        <v>-2</v>
      </c>
      <c r="AD15" s="3" t="s">
        <v>83</v>
      </c>
      <c r="AE15" s="3">
        <f>Results!$O$60</f>
        <v>6</v>
      </c>
      <c r="AF15" s="11">
        <v>2</v>
      </c>
      <c r="AG15" s="3">
        <f t="shared" si="28"/>
        <v>12</v>
      </c>
      <c r="AI15" s="3" t="s">
        <v>114</v>
      </c>
      <c r="AJ15" s="3">
        <f>Results!$O$45</f>
        <v>-3</v>
      </c>
      <c r="AK15" s="11">
        <v>1</v>
      </c>
      <c r="AL15" s="3">
        <f t="shared" si="29"/>
        <v>-3</v>
      </c>
      <c r="AM15" s="3" t="s">
        <v>117</v>
      </c>
      <c r="AN15" s="3">
        <f>Results!$O$50</f>
        <v>9</v>
      </c>
      <c r="AO15" s="11">
        <v>1</v>
      </c>
      <c r="AP15" s="3">
        <f t="shared" si="30"/>
        <v>9</v>
      </c>
      <c r="AQ15" s="3" t="s">
        <v>120</v>
      </c>
      <c r="AR15" s="3">
        <f>Results!$O$55</f>
        <v>-2</v>
      </c>
      <c r="AS15" s="11"/>
      <c r="AT15" s="3">
        <f t="shared" si="31"/>
        <v>0</v>
      </c>
      <c r="AU15" s="3" t="s">
        <v>83</v>
      </c>
      <c r="AV15" s="3">
        <f>Results!$O$60</f>
        <v>6</v>
      </c>
      <c r="AW15" s="11">
        <v>1</v>
      </c>
      <c r="AX15" s="3">
        <f t="shared" si="32"/>
        <v>6</v>
      </c>
    </row>
    <row r="16" spans="1:50" ht="13.5" customHeight="1" thickBot="1" x14ac:dyDescent="0.25">
      <c r="A16" s="19" t="s">
        <v>115</v>
      </c>
      <c r="B16" s="19">
        <f>Results!$O$46</f>
        <v>12</v>
      </c>
      <c r="C16" s="20">
        <v>2</v>
      </c>
      <c r="D16" s="19">
        <f t="shared" si="21"/>
        <v>24</v>
      </c>
      <c r="E16" s="19" t="s">
        <v>118</v>
      </c>
      <c r="F16" s="19">
        <f>Results!$O$51</f>
        <v>-1</v>
      </c>
      <c r="G16" s="20"/>
      <c r="H16" s="19">
        <f t="shared" si="22"/>
        <v>0</v>
      </c>
      <c r="I16" s="19" t="s">
        <v>121</v>
      </c>
      <c r="J16" s="19">
        <f>Results!$O$56</f>
        <v>9</v>
      </c>
      <c r="K16" s="20">
        <v>2</v>
      </c>
      <c r="L16" s="19">
        <f t="shared" si="23"/>
        <v>18</v>
      </c>
      <c r="M16" s="19" t="s">
        <v>122</v>
      </c>
      <c r="N16" s="19">
        <f>Results!$O$61</f>
        <v>-3</v>
      </c>
      <c r="O16" s="20"/>
      <c r="P16" s="19">
        <f t="shared" si="24"/>
        <v>0</v>
      </c>
      <c r="R16" s="19" t="s">
        <v>115</v>
      </c>
      <c r="S16" s="19">
        <f>Results!$O$46</f>
        <v>12</v>
      </c>
      <c r="T16" s="20">
        <v>3</v>
      </c>
      <c r="U16" s="19">
        <f t="shared" si="25"/>
        <v>36</v>
      </c>
      <c r="V16" s="19" t="s">
        <v>118</v>
      </c>
      <c r="W16" s="19">
        <f>Results!$O$51</f>
        <v>-1</v>
      </c>
      <c r="X16" s="20"/>
      <c r="Y16" s="19">
        <f t="shared" si="26"/>
        <v>0</v>
      </c>
      <c r="Z16" s="19" t="s">
        <v>121</v>
      </c>
      <c r="AA16" s="19">
        <f>Results!$O$56</f>
        <v>9</v>
      </c>
      <c r="AB16" s="20">
        <v>2</v>
      </c>
      <c r="AC16" s="19">
        <f t="shared" si="27"/>
        <v>18</v>
      </c>
      <c r="AD16" s="19" t="s">
        <v>122</v>
      </c>
      <c r="AE16" s="19">
        <f>Results!$O$61</f>
        <v>-3</v>
      </c>
      <c r="AF16" s="20"/>
      <c r="AG16" s="19">
        <f t="shared" si="28"/>
        <v>0</v>
      </c>
      <c r="AI16" s="19" t="s">
        <v>115</v>
      </c>
      <c r="AJ16" s="19">
        <f>Results!$O$46</f>
        <v>12</v>
      </c>
      <c r="AK16" s="20">
        <v>3</v>
      </c>
      <c r="AL16" s="19">
        <f t="shared" si="29"/>
        <v>36</v>
      </c>
      <c r="AM16" s="19" t="s">
        <v>118</v>
      </c>
      <c r="AN16" s="19">
        <f>Results!$O$51</f>
        <v>-1</v>
      </c>
      <c r="AO16" s="20"/>
      <c r="AP16" s="19">
        <f t="shared" si="30"/>
        <v>0</v>
      </c>
      <c r="AQ16" s="19" t="s">
        <v>121</v>
      </c>
      <c r="AR16" s="19">
        <f>Results!$O$56</f>
        <v>9</v>
      </c>
      <c r="AS16" s="20">
        <v>2</v>
      </c>
      <c r="AT16" s="19">
        <f t="shared" si="31"/>
        <v>18</v>
      </c>
      <c r="AU16" s="19" t="s">
        <v>122</v>
      </c>
      <c r="AV16" s="19">
        <f>Results!$O$61</f>
        <v>-3</v>
      </c>
      <c r="AW16" s="20"/>
      <c r="AX16" s="19">
        <f t="shared" si="32"/>
        <v>0</v>
      </c>
    </row>
    <row r="17" spans="1:50" s="27" customFormat="1" ht="13.5" customHeight="1" thickBot="1" x14ac:dyDescent="0.25"/>
    <row r="18" spans="1:50" ht="13.5" customHeight="1" x14ac:dyDescent="0.2">
      <c r="A18" s="12" t="s">
        <v>0</v>
      </c>
      <c r="B18" s="59" t="s">
        <v>126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13" t="s">
        <v>50</v>
      </c>
      <c r="N18" s="61">
        <f>SUM(D20:D23,D25:D28,H20:H23,H25:H28,L20:L23,L25:L28,P20:P23,P25:P28,D30:D33,H30:H33,L30:L33,P30:P33)</f>
        <v>403</v>
      </c>
      <c r="O18" s="60"/>
      <c r="P18" s="62"/>
      <c r="R18" s="12" t="s">
        <v>0</v>
      </c>
      <c r="S18" s="59" t="s">
        <v>135</v>
      </c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13" t="s">
        <v>50</v>
      </c>
      <c r="AE18" s="61">
        <f>SUM(U20:U23,U25:U28,Y20:Y23, Y25:Y28,AC20:AC23,AC25:AC28,AG20:AG23,AG25:AG28,U30:U33,Y30:Y33,AC30:AC33,AG30:AG33)</f>
        <v>378</v>
      </c>
      <c r="AF18" s="60"/>
      <c r="AG18" s="62"/>
      <c r="AI18" s="12" t="s">
        <v>0</v>
      </c>
      <c r="AJ18" s="59" t="s">
        <v>64</v>
      </c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13" t="s">
        <v>50</v>
      </c>
      <c r="AV18" s="61">
        <f>SUM(AL20:AL23,AL25:AL28,AP20:AP23, AP25:AP28,AT20:AT23,AT25:AT28,AX20:AX23,AX25:AX28,AL30:AL33,AP30:AP33,AT30:AT33,AX30:AX33)</f>
        <v>382</v>
      </c>
      <c r="AW18" s="60"/>
      <c r="AX18" s="62"/>
    </row>
    <row r="19" spans="1:50" ht="13.5" customHeight="1" x14ac:dyDescent="0.2">
      <c r="A19" s="14" t="s">
        <v>3</v>
      </c>
      <c r="B19" s="15" t="s">
        <v>51</v>
      </c>
      <c r="C19" s="16" t="s">
        <v>21</v>
      </c>
      <c r="D19" s="15" t="s">
        <v>49</v>
      </c>
      <c r="E19" s="15" t="s">
        <v>6</v>
      </c>
      <c r="F19" s="15" t="s">
        <v>51</v>
      </c>
      <c r="G19" s="16" t="s">
        <v>21</v>
      </c>
      <c r="H19" s="15" t="s">
        <v>49</v>
      </c>
      <c r="I19" s="15" t="s">
        <v>7</v>
      </c>
      <c r="J19" s="15" t="s">
        <v>51</v>
      </c>
      <c r="K19" s="16" t="s">
        <v>21</v>
      </c>
      <c r="L19" s="15" t="s">
        <v>49</v>
      </c>
      <c r="M19" s="15" t="s">
        <v>13</v>
      </c>
      <c r="N19" s="15" t="s">
        <v>51</v>
      </c>
      <c r="O19" s="16" t="s">
        <v>21</v>
      </c>
      <c r="P19" s="17" t="s">
        <v>49</v>
      </c>
      <c r="R19" s="14" t="s">
        <v>3</v>
      </c>
      <c r="S19" s="15" t="s">
        <v>51</v>
      </c>
      <c r="T19" s="16" t="s">
        <v>21</v>
      </c>
      <c r="U19" s="15" t="s">
        <v>49</v>
      </c>
      <c r="V19" s="15" t="s">
        <v>6</v>
      </c>
      <c r="W19" s="15" t="s">
        <v>51</v>
      </c>
      <c r="X19" s="16" t="s">
        <v>21</v>
      </c>
      <c r="Y19" s="15" t="s">
        <v>49</v>
      </c>
      <c r="Z19" s="15" t="s">
        <v>7</v>
      </c>
      <c r="AA19" s="15" t="s">
        <v>51</v>
      </c>
      <c r="AB19" s="16" t="s">
        <v>21</v>
      </c>
      <c r="AC19" s="15" t="s">
        <v>49</v>
      </c>
      <c r="AD19" s="15" t="s">
        <v>13</v>
      </c>
      <c r="AE19" s="15" t="s">
        <v>51</v>
      </c>
      <c r="AF19" s="16" t="s">
        <v>21</v>
      </c>
      <c r="AG19" s="17" t="s">
        <v>49</v>
      </c>
      <c r="AI19" s="14" t="s">
        <v>3</v>
      </c>
      <c r="AJ19" s="15" t="s">
        <v>51</v>
      </c>
      <c r="AK19" s="16" t="s">
        <v>21</v>
      </c>
      <c r="AL19" s="15" t="s">
        <v>49</v>
      </c>
      <c r="AM19" s="15" t="s">
        <v>6</v>
      </c>
      <c r="AN19" s="15" t="s">
        <v>51</v>
      </c>
      <c r="AO19" s="16" t="s">
        <v>21</v>
      </c>
      <c r="AP19" s="15" t="s">
        <v>49</v>
      </c>
      <c r="AQ19" s="15" t="s">
        <v>7</v>
      </c>
      <c r="AR19" s="15" t="s">
        <v>51</v>
      </c>
      <c r="AS19" s="16" t="s">
        <v>21</v>
      </c>
      <c r="AT19" s="15" t="s">
        <v>49</v>
      </c>
      <c r="AU19" s="15" t="s">
        <v>13</v>
      </c>
      <c r="AV19" s="15" t="s">
        <v>51</v>
      </c>
      <c r="AW19" s="16" t="s">
        <v>21</v>
      </c>
      <c r="AX19" s="17" t="s">
        <v>49</v>
      </c>
    </row>
    <row r="20" spans="1:50" ht="13.5" customHeight="1" x14ac:dyDescent="0.2">
      <c r="A20" s="3" t="s">
        <v>71</v>
      </c>
      <c r="B20" s="3">
        <f>Results!$O$3</f>
        <v>3</v>
      </c>
      <c r="C20" s="11">
        <v>3</v>
      </c>
      <c r="D20" s="3">
        <f t="shared" ref="D20:D23" si="33">B20*C20</f>
        <v>9</v>
      </c>
      <c r="E20" s="3" t="s">
        <v>76</v>
      </c>
      <c r="F20" s="3">
        <f>Results!$O$8</f>
        <v>2</v>
      </c>
      <c r="G20" s="11">
        <v>2</v>
      </c>
      <c r="H20" s="3">
        <f t="shared" ref="H20:H23" si="34">F20*G20</f>
        <v>4</v>
      </c>
      <c r="I20" s="3" t="s">
        <v>80</v>
      </c>
      <c r="J20" s="3">
        <f>Results!$O$13</f>
        <v>2</v>
      </c>
      <c r="K20" s="11">
        <v>3</v>
      </c>
      <c r="L20" s="3">
        <f t="shared" ref="L20:L23" si="35">J20*K20</f>
        <v>6</v>
      </c>
      <c r="M20" s="3" t="s">
        <v>68</v>
      </c>
      <c r="N20" s="3">
        <f>Results!$O$18</f>
        <v>11</v>
      </c>
      <c r="O20" s="11">
        <v>3</v>
      </c>
      <c r="P20" s="18">
        <f>N20*O20</f>
        <v>33</v>
      </c>
      <c r="R20" s="3" t="s">
        <v>71</v>
      </c>
      <c r="S20" s="3">
        <f>Results!$O$3</f>
        <v>3</v>
      </c>
      <c r="T20" s="11">
        <v>2</v>
      </c>
      <c r="U20" s="3">
        <f t="shared" ref="U20:U23" si="36">S20*T20</f>
        <v>6</v>
      </c>
      <c r="V20" s="3" t="s">
        <v>76</v>
      </c>
      <c r="W20" s="3">
        <f>Results!$O$8</f>
        <v>2</v>
      </c>
      <c r="X20" s="11">
        <v>3</v>
      </c>
      <c r="Y20" s="3">
        <f t="shared" ref="Y20:Y23" si="37">W20*X20</f>
        <v>6</v>
      </c>
      <c r="Z20" s="3" t="s">
        <v>80</v>
      </c>
      <c r="AA20" s="3">
        <f>Results!$O$13</f>
        <v>2</v>
      </c>
      <c r="AB20" s="11">
        <v>3</v>
      </c>
      <c r="AC20" s="3">
        <f t="shared" ref="AC20:AC23" si="38">AA20*AB20</f>
        <v>6</v>
      </c>
      <c r="AD20" s="3" t="s">
        <v>68</v>
      </c>
      <c r="AE20" s="3">
        <f>Results!$O$18</f>
        <v>11</v>
      </c>
      <c r="AF20" s="11">
        <v>1</v>
      </c>
      <c r="AG20" s="18">
        <f>AE20*AF20</f>
        <v>11</v>
      </c>
      <c r="AI20" s="3" t="s">
        <v>71</v>
      </c>
      <c r="AJ20" s="3">
        <f>Results!$O$3</f>
        <v>3</v>
      </c>
      <c r="AK20" s="11">
        <v>3</v>
      </c>
      <c r="AL20" s="3">
        <f t="shared" ref="AL20:AL23" si="39">AJ20*AK20</f>
        <v>9</v>
      </c>
      <c r="AM20" s="3" t="s">
        <v>76</v>
      </c>
      <c r="AN20" s="3">
        <f>Results!$O$8</f>
        <v>2</v>
      </c>
      <c r="AO20" s="11">
        <v>2</v>
      </c>
      <c r="AP20" s="3">
        <f t="shared" ref="AP20:AP23" si="40">AN20*AO20</f>
        <v>4</v>
      </c>
      <c r="AQ20" s="3" t="s">
        <v>80</v>
      </c>
      <c r="AR20" s="3">
        <f>Results!$O$13</f>
        <v>2</v>
      </c>
      <c r="AS20" s="11">
        <v>3</v>
      </c>
      <c r="AT20" s="3">
        <f t="shared" ref="AT20:AT23" si="41">AR20*AS20</f>
        <v>6</v>
      </c>
      <c r="AU20" s="3" t="s">
        <v>68</v>
      </c>
      <c r="AV20" s="3">
        <f>Results!$O$18</f>
        <v>11</v>
      </c>
      <c r="AW20" s="11">
        <v>3</v>
      </c>
      <c r="AX20" s="18">
        <f>AV20*AW20</f>
        <v>33</v>
      </c>
    </row>
    <row r="21" spans="1:50" ht="13.5" customHeight="1" x14ac:dyDescent="0.2">
      <c r="A21" s="3" t="s">
        <v>123</v>
      </c>
      <c r="B21" s="3">
        <f>Results!$O$4</f>
        <v>-14</v>
      </c>
      <c r="C21" s="11"/>
      <c r="D21" s="3">
        <f t="shared" si="33"/>
        <v>0</v>
      </c>
      <c r="E21" s="3" t="s">
        <v>103</v>
      </c>
      <c r="F21" s="3">
        <f>Results!$O$9</f>
        <v>1</v>
      </c>
      <c r="G21" s="11">
        <v>1</v>
      </c>
      <c r="H21" s="3">
        <f t="shared" si="34"/>
        <v>1</v>
      </c>
      <c r="I21" s="3" t="s">
        <v>77</v>
      </c>
      <c r="J21" s="3">
        <f>Results!$O$14</f>
        <v>4</v>
      </c>
      <c r="K21" s="11">
        <v>2</v>
      </c>
      <c r="L21" s="3">
        <f t="shared" si="35"/>
        <v>8</v>
      </c>
      <c r="M21" s="3" t="s">
        <v>106</v>
      </c>
      <c r="N21" s="3">
        <f>Results!$O$19</f>
        <v>-7</v>
      </c>
      <c r="O21" s="11"/>
      <c r="P21" s="18">
        <f>N21*O21</f>
        <v>0</v>
      </c>
      <c r="R21" s="3" t="s">
        <v>123</v>
      </c>
      <c r="S21" s="3">
        <f>Results!$O$4</f>
        <v>-14</v>
      </c>
      <c r="T21" s="11">
        <v>1</v>
      </c>
      <c r="U21" s="3">
        <f t="shared" si="36"/>
        <v>-14</v>
      </c>
      <c r="V21" s="3" t="s">
        <v>103</v>
      </c>
      <c r="W21" s="3">
        <f>Results!$O$9</f>
        <v>1</v>
      </c>
      <c r="X21" s="11"/>
      <c r="Y21" s="3">
        <f t="shared" si="37"/>
        <v>0</v>
      </c>
      <c r="Z21" s="3" t="s">
        <v>77</v>
      </c>
      <c r="AA21" s="3">
        <f>Results!$O$14</f>
        <v>4</v>
      </c>
      <c r="AB21" s="11">
        <v>1</v>
      </c>
      <c r="AC21" s="3">
        <f t="shared" si="38"/>
        <v>4</v>
      </c>
      <c r="AD21" s="3" t="s">
        <v>106</v>
      </c>
      <c r="AE21" s="3">
        <f>Results!$O$19</f>
        <v>-7</v>
      </c>
      <c r="AF21" s="11"/>
      <c r="AG21" s="18">
        <f>AE21*AF21</f>
        <v>0</v>
      </c>
      <c r="AI21" s="3" t="s">
        <v>123</v>
      </c>
      <c r="AJ21" s="3">
        <f>Results!$O$4</f>
        <v>-14</v>
      </c>
      <c r="AK21" s="11"/>
      <c r="AL21" s="3">
        <f t="shared" si="39"/>
        <v>0</v>
      </c>
      <c r="AM21" s="3" t="s">
        <v>103</v>
      </c>
      <c r="AN21" s="3">
        <f>Results!$O$9</f>
        <v>1</v>
      </c>
      <c r="AO21" s="11"/>
      <c r="AP21" s="3">
        <f t="shared" si="40"/>
        <v>0</v>
      </c>
      <c r="AQ21" s="3" t="s">
        <v>77</v>
      </c>
      <c r="AR21" s="3">
        <f>Results!$O$14</f>
        <v>4</v>
      </c>
      <c r="AS21" s="11">
        <v>2</v>
      </c>
      <c r="AT21" s="3">
        <f t="shared" si="41"/>
        <v>8</v>
      </c>
      <c r="AU21" s="3" t="s">
        <v>106</v>
      </c>
      <c r="AV21" s="3">
        <f>Results!$O$19</f>
        <v>-7</v>
      </c>
      <c r="AW21" s="11">
        <v>1</v>
      </c>
      <c r="AX21" s="18">
        <f>AV21*AW21</f>
        <v>-7</v>
      </c>
    </row>
    <row r="22" spans="1:50" ht="13.5" customHeight="1" x14ac:dyDescent="0.2">
      <c r="A22" s="3" t="s">
        <v>124</v>
      </c>
      <c r="B22" s="3">
        <f>Results!$O$5</f>
        <v>7</v>
      </c>
      <c r="C22" s="11">
        <v>2</v>
      </c>
      <c r="D22" s="3">
        <f t="shared" si="33"/>
        <v>14</v>
      </c>
      <c r="E22" s="3" t="s">
        <v>65</v>
      </c>
      <c r="F22" s="3">
        <f>Results!$O$10</f>
        <v>2</v>
      </c>
      <c r="G22" s="11"/>
      <c r="H22" s="3">
        <f t="shared" si="34"/>
        <v>0</v>
      </c>
      <c r="I22" s="3" t="s">
        <v>104</v>
      </c>
      <c r="J22" s="3">
        <f>Results!$O$15</f>
        <v>-2</v>
      </c>
      <c r="K22" s="11"/>
      <c r="L22" s="3">
        <f t="shared" si="35"/>
        <v>0</v>
      </c>
      <c r="M22" s="3" t="s">
        <v>72</v>
      </c>
      <c r="N22" s="3">
        <f>Results!$O$20</f>
        <v>9</v>
      </c>
      <c r="O22" s="11">
        <v>1</v>
      </c>
      <c r="P22" s="18">
        <f>N22*O22</f>
        <v>9</v>
      </c>
      <c r="R22" s="3" t="s">
        <v>124</v>
      </c>
      <c r="S22" s="3">
        <f>Results!$O$5</f>
        <v>7</v>
      </c>
      <c r="T22" s="11"/>
      <c r="U22" s="3">
        <f t="shared" si="36"/>
        <v>0</v>
      </c>
      <c r="V22" s="3" t="s">
        <v>65</v>
      </c>
      <c r="W22" s="3">
        <f>Results!$O$10</f>
        <v>2</v>
      </c>
      <c r="X22" s="11">
        <v>1</v>
      </c>
      <c r="Y22" s="3">
        <f t="shared" si="37"/>
        <v>2</v>
      </c>
      <c r="Z22" s="3" t="s">
        <v>104</v>
      </c>
      <c r="AA22" s="3">
        <f>Results!$O$15</f>
        <v>-2</v>
      </c>
      <c r="AB22" s="11"/>
      <c r="AC22" s="3">
        <f t="shared" si="38"/>
        <v>0</v>
      </c>
      <c r="AD22" s="3" t="s">
        <v>72</v>
      </c>
      <c r="AE22" s="3">
        <f>Results!$O$20</f>
        <v>9</v>
      </c>
      <c r="AF22" s="11">
        <v>3</v>
      </c>
      <c r="AG22" s="18">
        <f>AE22*AF22</f>
        <v>27</v>
      </c>
      <c r="AI22" s="3" t="s">
        <v>124</v>
      </c>
      <c r="AJ22" s="3">
        <f>Results!$O$5</f>
        <v>7</v>
      </c>
      <c r="AK22" s="11">
        <v>2</v>
      </c>
      <c r="AL22" s="3">
        <f t="shared" si="39"/>
        <v>14</v>
      </c>
      <c r="AM22" s="3" t="s">
        <v>65</v>
      </c>
      <c r="AN22" s="3">
        <f>Results!$O$10</f>
        <v>2</v>
      </c>
      <c r="AO22" s="11">
        <v>1</v>
      </c>
      <c r="AP22" s="3">
        <f t="shared" si="40"/>
        <v>2</v>
      </c>
      <c r="AQ22" s="3" t="s">
        <v>104</v>
      </c>
      <c r="AR22" s="3">
        <f>Results!$O$15</f>
        <v>-2</v>
      </c>
      <c r="AS22" s="11"/>
      <c r="AT22" s="3">
        <f t="shared" si="41"/>
        <v>0</v>
      </c>
      <c r="AU22" s="3" t="s">
        <v>72</v>
      </c>
      <c r="AV22" s="3">
        <f>Results!$O$20</f>
        <v>9</v>
      </c>
      <c r="AW22" s="11"/>
      <c r="AX22" s="18">
        <f>AV22*AW22</f>
        <v>0</v>
      </c>
    </row>
    <row r="23" spans="1:50" ht="13.5" customHeight="1" x14ac:dyDescent="0.2">
      <c r="A23" s="3" t="s">
        <v>102</v>
      </c>
      <c r="B23" s="3">
        <f>Results!$O$6</f>
        <v>0</v>
      </c>
      <c r="C23" s="11">
        <v>1</v>
      </c>
      <c r="D23" s="3">
        <f t="shared" si="33"/>
        <v>0</v>
      </c>
      <c r="E23" s="3" t="s">
        <v>12</v>
      </c>
      <c r="F23" s="3">
        <f>Results!$O$11</f>
        <v>3</v>
      </c>
      <c r="G23" s="11">
        <v>3</v>
      </c>
      <c r="H23" s="3">
        <f t="shared" si="34"/>
        <v>9</v>
      </c>
      <c r="I23" s="3" t="s">
        <v>105</v>
      </c>
      <c r="J23" s="3">
        <f>Results!$O$16</f>
        <v>4</v>
      </c>
      <c r="K23" s="11">
        <v>1</v>
      </c>
      <c r="L23" s="3">
        <f t="shared" si="35"/>
        <v>4</v>
      </c>
      <c r="M23" s="3" t="s">
        <v>107</v>
      </c>
      <c r="N23" s="3">
        <f>Results!$O$21</f>
        <v>-3</v>
      </c>
      <c r="O23" s="11">
        <v>2</v>
      </c>
      <c r="P23" s="18">
        <f>N23*O23</f>
        <v>-6</v>
      </c>
      <c r="R23" s="3" t="s">
        <v>102</v>
      </c>
      <c r="S23" s="3">
        <f>Results!$O$6</f>
        <v>0</v>
      </c>
      <c r="T23" s="11">
        <v>3</v>
      </c>
      <c r="U23" s="3">
        <f t="shared" si="36"/>
        <v>0</v>
      </c>
      <c r="V23" s="3" t="s">
        <v>12</v>
      </c>
      <c r="W23" s="3">
        <f>Results!$O$11</f>
        <v>3</v>
      </c>
      <c r="X23" s="11">
        <v>2</v>
      </c>
      <c r="Y23" s="3">
        <f t="shared" si="37"/>
        <v>6</v>
      </c>
      <c r="Z23" s="3" t="s">
        <v>105</v>
      </c>
      <c r="AA23" s="3">
        <f>Results!$O$16</f>
        <v>4</v>
      </c>
      <c r="AB23" s="11">
        <v>2</v>
      </c>
      <c r="AC23" s="3">
        <f t="shared" si="38"/>
        <v>8</v>
      </c>
      <c r="AD23" s="3" t="s">
        <v>107</v>
      </c>
      <c r="AE23" s="3">
        <f>Results!$O$21</f>
        <v>-3</v>
      </c>
      <c r="AF23" s="11">
        <v>2</v>
      </c>
      <c r="AG23" s="18">
        <f>AE23*AF23</f>
        <v>-6</v>
      </c>
      <c r="AI23" s="3" t="s">
        <v>102</v>
      </c>
      <c r="AJ23" s="3">
        <f>Results!$O$6</f>
        <v>0</v>
      </c>
      <c r="AK23" s="11">
        <v>1</v>
      </c>
      <c r="AL23" s="3">
        <f t="shared" si="39"/>
        <v>0</v>
      </c>
      <c r="AM23" s="3" t="s">
        <v>12</v>
      </c>
      <c r="AN23" s="3">
        <f>Results!$O$11</f>
        <v>3</v>
      </c>
      <c r="AO23" s="11">
        <v>3</v>
      </c>
      <c r="AP23" s="3">
        <f t="shared" si="40"/>
        <v>9</v>
      </c>
      <c r="AQ23" s="3" t="s">
        <v>105</v>
      </c>
      <c r="AR23" s="3">
        <f>Results!$O$16</f>
        <v>4</v>
      </c>
      <c r="AS23" s="11">
        <v>1</v>
      </c>
      <c r="AT23" s="3">
        <f t="shared" si="41"/>
        <v>4</v>
      </c>
      <c r="AU23" s="3" t="s">
        <v>107</v>
      </c>
      <c r="AV23" s="3">
        <f>Results!$O$21</f>
        <v>-3</v>
      </c>
      <c r="AW23" s="11">
        <v>2</v>
      </c>
      <c r="AX23" s="18">
        <f>AV23*AW23</f>
        <v>-6</v>
      </c>
    </row>
    <row r="24" spans="1:50" ht="13.5" customHeight="1" x14ac:dyDescent="0.2">
      <c r="A24" s="14" t="s">
        <v>14</v>
      </c>
      <c r="B24" s="15" t="s">
        <v>51</v>
      </c>
      <c r="C24" s="16" t="s">
        <v>21</v>
      </c>
      <c r="D24" s="15" t="s">
        <v>49</v>
      </c>
      <c r="E24" s="15" t="s">
        <v>15</v>
      </c>
      <c r="F24" s="15" t="s">
        <v>51</v>
      </c>
      <c r="G24" s="16" t="s">
        <v>21</v>
      </c>
      <c r="H24" s="15" t="s">
        <v>49</v>
      </c>
      <c r="I24" s="15" t="s">
        <v>78</v>
      </c>
      <c r="J24" s="15" t="s">
        <v>51</v>
      </c>
      <c r="K24" s="16" t="s">
        <v>21</v>
      </c>
      <c r="L24" s="15" t="s">
        <v>49</v>
      </c>
      <c r="M24" s="15" t="s">
        <v>79</v>
      </c>
      <c r="N24" s="15" t="s">
        <v>51</v>
      </c>
      <c r="O24" s="16" t="s">
        <v>21</v>
      </c>
      <c r="P24" s="15" t="s">
        <v>49</v>
      </c>
      <c r="R24" s="14" t="s">
        <v>14</v>
      </c>
      <c r="S24" s="15" t="s">
        <v>51</v>
      </c>
      <c r="T24" s="16" t="s">
        <v>21</v>
      </c>
      <c r="U24" s="15" t="s">
        <v>49</v>
      </c>
      <c r="V24" s="15" t="s">
        <v>15</v>
      </c>
      <c r="W24" s="15" t="s">
        <v>51</v>
      </c>
      <c r="X24" s="16" t="s">
        <v>21</v>
      </c>
      <c r="Y24" s="15" t="s">
        <v>49</v>
      </c>
      <c r="Z24" s="15" t="s">
        <v>78</v>
      </c>
      <c r="AA24" s="15" t="s">
        <v>51</v>
      </c>
      <c r="AB24" s="16" t="s">
        <v>21</v>
      </c>
      <c r="AC24" s="15" t="s">
        <v>49</v>
      </c>
      <c r="AD24" s="15" t="s">
        <v>79</v>
      </c>
      <c r="AE24" s="15" t="s">
        <v>51</v>
      </c>
      <c r="AF24" s="16" t="s">
        <v>21</v>
      </c>
      <c r="AG24" s="15" t="s">
        <v>49</v>
      </c>
      <c r="AI24" s="14" t="s">
        <v>14</v>
      </c>
      <c r="AJ24" s="15" t="s">
        <v>51</v>
      </c>
      <c r="AK24" s="16" t="s">
        <v>21</v>
      </c>
      <c r="AL24" s="15" t="s">
        <v>49</v>
      </c>
      <c r="AM24" s="15" t="s">
        <v>15</v>
      </c>
      <c r="AN24" s="15" t="s">
        <v>51</v>
      </c>
      <c r="AO24" s="16" t="s">
        <v>21</v>
      </c>
      <c r="AP24" s="15" t="s">
        <v>49</v>
      </c>
      <c r="AQ24" s="15" t="s">
        <v>78</v>
      </c>
      <c r="AR24" s="15" t="s">
        <v>51</v>
      </c>
      <c r="AS24" s="16" t="s">
        <v>21</v>
      </c>
      <c r="AT24" s="15" t="s">
        <v>49</v>
      </c>
      <c r="AU24" s="15" t="s">
        <v>79</v>
      </c>
      <c r="AV24" s="15" t="s">
        <v>51</v>
      </c>
      <c r="AW24" s="16" t="s">
        <v>21</v>
      </c>
      <c r="AX24" s="15" t="s">
        <v>49</v>
      </c>
    </row>
    <row r="25" spans="1:50" ht="13.5" customHeight="1" x14ac:dyDescent="0.2">
      <c r="A25" s="3" t="s">
        <v>11</v>
      </c>
      <c r="B25" s="3">
        <f>Results!$O$23</f>
        <v>18</v>
      </c>
      <c r="C25" s="11">
        <v>3</v>
      </c>
      <c r="D25" s="3">
        <f t="shared" ref="D25:D28" si="42">B25*C25</f>
        <v>54</v>
      </c>
      <c r="E25" s="3" t="s">
        <v>57</v>
      </c>
      <c r="F25" s="3">
        <f>Results!$O$28</f>
        <v>2</v>
      </c>
      <c r="G25" s="11">
        <v>2</v>
      </c>
      <c r="H25" s="3">
        <f t="shared" ref="H25:H28" si="43">F25*G25</f>
        <v>4</v>
      </c>
      <c r="I25" s="3" t="s">
        <v>18</v>
      </c>
      <c r="J25" s="3">
        <f>Results!$O$33</f>
        <v>2</v>
      </c>
      <c r="K25" s="11">
        <v>3</v>
      </c>
      <c r="L25" s="3">
        <f t="shared" ref="L25:L28" si="44">J25*K25</f>
        <v>6</v>
      </c>
      <c r="M25" s="3" t="s">
        <v>17</v>
      </c>
      <c r="N25" s="3">
        <f>Results!$O$38</f>
        <v>2</v>
      </c>
      <c r="O25" s="11">
        <v>3</v>
      </c>
      <c r="P25" s="3">
        <f t="shared" ref="P25:P28" si="45">N25*O25</f>
        <v>6</v>
      </c>
      <c r="R25" s="3" t="s">
        <v>11</v>
      </c>
      <c r="S25" s="3">
        <f>Results!$O$23</f>
        <v>18</v>
      </c>
      <c r="T25" s="11">
        <v>5</v>
      </c>
      <c r="U25" s="3">
        <f t="shared" ref="U25:U28" si="46">S25*T25</f>
        <v>90</v>
      </c>
      <c r="V25" s="3" t="s">
        <v>57</v>
      </c>
      <c r="W25" s="3">
        <f>Results!$O$28</f>
        <v>2</v>
      </c>
      <c r="X25" s="11">
        <v>3</v>
      </c>
      <c r="Y25" s="3">
        <f t="shared" ref="Y25:Y28" si="47">W25*X25</f>
        <v>6</v>
      </c>
      <c r="Z25" s="3" t="s">
        <v>18</v>
      </c>
      <c r="AA25" s="3">
        <f>Results!$O$33</f>
        <v>2</v>
      </c>
      <c r="AB25" s="11">
        <v>3</v>
      </c>
      <c r="AC25" s="3">
        <f t="shared" ref="AC25:AC28" si="48">AA25*AB25</f>
        <v>6</v>
      </c>
      <c r="AD25" s="3" t="s">
        <v>17</v>
      </c>
      <c r="AE25" s="3">
        <f>Results!$O$38</f>
        <v>2</v>
      </c>
      <c r="AF25" s="11">
        <v>3</v>
      </c>
      <c r="AG25" s="3">
        <f t="shared" ref="AG25:AG28" si="49">AE25*AF25</f>
        <v>6</v>
      </c>
      <c r="AI25" s="3" t="s">
        <v>11</v>
      </c>
      <c r="AJ25" s="3">
        <f>Results!$O$23</f>
        <v>18</v>
      </c>
      <c r="AK25" s="11">
        <v>3</v>
      </c>
      <c r="AL25" s="3">
        <f t="shared" ref="AL25:AL28" si="50">AJ25*AK25</f>
        <v>54</v>
      </c>
      <c r="AM25" s="3" t="s">
        <v>57</v>
      </c>
      <c r="AN25" s="3">
        <f>Results!$O$28</f>
        <v>2</v>
      </c>
      <c r="AO25" s="11">
        <v>3</v>
      </c>
      <c r="AP25" s="3">
        <f t="shared" ref="AP25:AP28" si="51">AN25*AO25</f>
        <v>6</v>
      </c>
      <c r="AQ25" s="3" t="s">
        <v>18</v>
      </c>
      <c r="AR25" s="3">
        <f>Results!$O$33</f>
        <v>2</v>
      </c>
      <c r="AS25" s="11">
        <v>3</v>
      </c>
      <c r="AT25" s="3">
        <f t="shared" ref="AT25:AT28" si="52">AR25*AS25</f>
        <v>6</v>
      </c>
      <c r="AU25" s="3" t="s">
        <v>17</v>
      </c>
      <c r="AV25" s="3">
        <f>Results!$O$38</f>
        <v>2</v>
      </c>
      <c r="AW25" s="11">
        <v>3</v>
      </c>
      <c r="AX25" s="3">
        <f t="shared" ref="AX25:AX28" si="53">AV25*AW25</f>
        <v>6</v>
      </c>
    </row>
    <row r="26" spans="1:50" ht="13.5" customHeight="1" x14ac:dyDescent="0.2">
      <c r="A26" s="3" t="s">
        <v>108</v>
      </c>
      <c r="B26" s="3">
        <f>Results!$O$24</f>
        <v>-5</v>
      </c>
      <c r="C26" s="11"/>
      <c r="D26" s="3">
        <f t="shared" si="42"/>
        <v>0</v>
      </c>
      <c r="E26" s="3" t="s">
        <v>75</v>
      </c>
      <c r="F26" s="3">
        <f>Results!$O$29</f>
        <v>5</v>
      </c>
      <c r="G26" s="11">
        <v>3</v>
      </c>
      <c r="H26" s="3">
        <f t="shared" si="43"/>
        <v>15</v>
      </c>
      <c r="I26" s="3" t="s">
        <v>111</v>
      </c>
      <c r="J26" s="3">
        <f>Results!$O$34</f>
        <v>2</v>
      </c>
      <c r="K26" s="11">
        <v>2</v>
      </c>
      <c r="L26" s="3">
        <f t="shared" si="44"/>
        <v>4</v>
      </c>
      <c r="M26" s="3" t="s">
        <v>113</v>
      </c>
      <c r="N26" s="3">
        <f>Results!$O$39</f>
        <v>2</v>
      </c>
      <c r="O26" s="11"/>
      <c r="P26" s="3">
        <f t="shared" si="45"/>
        <v>0</v>
      </c>
      <c r="R26" s="3" t="s">
        <v>108</v>
      </c>
      <c r="S26" s="3">
        <f>Results!$O$24</f>
        <v>-5</v>
      </c>
      <c r="T26" s="11">
        <v>1</v>
      </c>
      <c r="U26" s="3">
        <f t="shared" si="46"/>
        <v>-5</v>
      </c>
      <c r="V26" s="3" t="s">
        <v>75</v>
      </c>
      <c r="W26" s="3">
        <f>Results!$O$29</f>
        <v>5</v>
      </c>
      <c r="X26" s="11">
        <v>1</v>
      </c>
      <c r="Y26" s="3">
        <f t="shared" si="47"/>
        <v>5</v>
      </c>
      <c r="Z26" s="3" t="s">
        <v>111</v>
      </c>
      <c r="AA26" s="3">
        <f>Results!$O$34</f>
        <v>2</v>
      </c>
      <c r="AB26" s="11">
        <v>2</v>
      </c>
      <c r="AC26" s="3">
        <f t="shared" si="48"/>
        <v>4</v>
      </c>
      <c r="AD26" s="3" t="s">
        <v>113</v>
      </c>
      <c r="AE26" s="3">
        <f>Results!$O$39</f>
        <v>2</v>
      </c>
      <c r="AF26" s="11"/>
      <c r="AG26" s="3">
        <f t="shared" si="49"/>
        <v>0</v>
      </c>
      <c r="AI26" s="3" t="s">
        <v>108</v>
      </c>
      <c r="AJ26" s="3">
        <f>Results!$O$24</f>
        <v>-5</v>
      </c>
      <c r="AK26" s="11"/>
      <c r="AL26" s="3">
        <f t="shared" si="50"/>
        <v>0</v>
      </c>
      <c r="AM26" s="3" t="s">
        <v>75</v>
      </c>
      <c r="AN26" s="3">
        <f>Results!$O$29</f>
        <v>5</v>
      </c>
      <c r="AO26" s="11">
        <v>2</v>
      </c>
      <c r="AP26" s="3">
        <f t="shared" si="51"/>
        <v>10</v>
      </c>
      <c r="AQ26" s="3" t="s">
        <v>111</v>
      </c>
      <c r="AR26" s="3">
        <f>Results!$O$34</f>
        <v>2</v>
      </c>
      <c r="AS26" s="11">
        <v>2</v>
      </c>
      <c r="AT26" s="3">
        <f t="shared" si="52"/>
        <v>4</v>
      </c>
      <c r="AU26" s="3" t="s">
        <v>113</v>
      </c>
      <c r="AV26" s="3">
        <f>Results!$O$39</f>
        <v>2</v>
      </c>
      <c r="AW26" s="11"/>
      <c r="AX26" s="3">
        <f t="shared" si="53"/>
        <v>0</v>
      </c>
    </row>
    <row r="27" spans="1:50" ht="13.5" customHeight="1" x14ac:dyDescent="0.2">
      <c r="A27" s="3" t="s">
        <v>109</v>
      </c>
      <c r="B27" s="3">
        <f>Results!$O$25</f>
        <v>4</v>
      </c>
      <c r="C27" s="11">
        <v>1</v>
      </c>
      <c r="D27" s="3">
        <f t="shared" si="42"/>
        <v>4</v>
      </c>
      <c r="E27" s="3" t="s">
        <v>110</v>
      </c>
      <c r="F27" s="3">
        <f>Results!$O$30</f>
        <v>14</v>
      </c>
      <c r="G27" s="11">
        <v>1</v>
      </c>
      <c r="H27" s="3">
        <f t="shared" si="43"/>
        <v>14</v>
      </c>
      <c r="I27" s="3" t="s">
        <v>67</v>
      </c>
      <c r="J27" s="3">
        <f>Results!$O$35</f>
        <v>4</v>
      </c>
      <c r="K27" s="11"/>
      <c r="L27" s="3">
        <f t="shared" si="44"/>
        <v>0</v>
      </c>
      <c r="M27" s="3" t="s">
        <v>70</v>
      </c>
      <c r="N27" s="3">
        <f>Results!$O$40</f>
        <v>3</v>
      </c>
      <c r="O27" s="11">
        <v>1</v>
      </c>
      <c r="P27" s="3">
        <f t="shared" si="45"/>
        <v>3</v>
      </c>
      <c r="R27" s="3" t="s">
        <v>109</v>
      </c>
      <c r="S27" s="3">
        <f>Results!$O$25</f>
        <v>4</v>
      </c>
      <c r="T27" s="11">
        <v>2</v>
      </c>
      <c r="U27" s="3">
        <f t="shared" si="46"/>
        <v>8</v>
      </c>
      <c r="V27" s="3" t="s">
        <v>110</v>
      </c>
      <c r="W27" s="3">
        <f>Results!$O$30</f>
        <v>14</v>
      </c>
      <c r="X27" s="11">
        <v>2</v>
      </c>
      <c r="Y27" s="3">
        <f t="shared" si="47"/>
        <v>28</v>
      </c>
      <c r="Z27" s="3" t="s">
        <v>67</v>
      </c>
      <c r="AA27" s="3">
        <f>Results!$O$35</f>
        <v>4</v>
      </c>
      <c r="AB27" s="11"/>
      <c r="AC27" s="3">
        <f t="shared" si="48"/>
        <v>0</v>
      </c>
      <c r="AD27" s="3" t="s">
        <v>70</v>
      </c>
      <c r="AE27" s="3">
        <f>Results!$O$40</f>
        <v>3</v>
      </c>
      <c r="AF27" s="11">
        <v>1</v>
      </c>
      <c r="AG27" s="3">
        <f t="shared" si="49"/>
        <v>3</v>
      </c>
      <c r="AI27" s="3" t="s">
        <v>109</v>
      </c>
      <c r="AJ27" s="3">
        <f>Results!$O$25</f>
        <v>4</v>
      </c>
      <c r="AK27" s="11">
        <v>2</v>
      </c>
      <c r="AL27" s="3">
        <f t="shared" si="50"/>
        <v>8</v>
      </c>
      <c r="AM27" s="3" t="s">
        <v>110</v>
      </c>
      <c r="AN27" s="3">
        <f>Results!$O$30</f>
        <v>14</v>
      </c>
      <c r="AO27" s="11">
        <v>1</v>
      </c>
      <c r="AP27" s="3">
        <f t="shared" si="51"/>
        <v>14</v>
      </c>
      <c r="AQ27" s="3" t="s">
        <v>67</v>
      </c>
      <c r="AR27" s="3">
        <f>Results!$O$35</f>
        <v>4</v>
      </c>
      <c r="AS27" s="11"/>
      <c r="AT27" s="3">
        <f t="shared" si="52"/>
        <v>0</v>
      </c>
      <c r="AU27" s="3" t="s">
        <v>70</v>
      </c>
      <c r="AV27" s="3">
        <f>Results!$O$40</f>
        <v>3</v>
      </c>
      <c r="AW27" s="11">
        <v>1</v>
      </c>
      <c r="AX27" s="3">
        <f t="shared" si="53"/>
        <v>3</v>
      </c>
    </row>
    <row r="28" spans="1:50" ht="13.5" customHeight="1" x14ac:dyDescent="0.2">
      <c r="A28" s="24" t="s">
        <v>91</v>
      </c>
      <c r="B28" s="24">
        <f>Results!$O$26</f>
        <v>-2</v>
      </c>
      <c r="C28" s="25">
        <v>2</v>
      </c>
      <c r="D28" s="24">
        <f t="shared" si="42"/>
        <v>-4</v>
      </c>
      <c r="E28" s="24" t="s">
        <v>73</v>
      </c>
      <c r="F28" s="24">
        <f>Results!$O$31</f>
        <v>-4</v>
      </c>
      <c r="G28" s="25"/>
      <c r="H28" s="24">
        <f t="shared" si="43"/>
        <v>0</v>
      </c>
      <c r="I28" s="24" t="s">
        <v>112</v>
      </c>
      <c r="J28" s="24">
        <f>Results!$O$36</f>
        <v>5</v>
      </c>
      <c r="K28" s="25">
        <v>1</v>
      </c>
      <c r="L28" s="24">
        <f t="shared" si="44"/>
        <v>5</v>
      </c>
      <c r="M28" s="24" t="s">
        <v>84</v>
      </c>
      <c r="N28" s="24">
        <f>Results!$O$41</f>
        <v>4</v>
      </c>
      <c r="O28" s="25">
        <v>2</v>
      </c>
      <c r="P28" s="24">
        <f t="shared" si="45"/>
        <v>8</v>
      </c>
      <c r="R28" s="24" t="s">
        <v>91</v>
      </c>
      <c r="S28" s="24">
        <f>Results!$O$26</f>
        <v>-2</v>
      </c>
      <c r="T28" s="25">
        <v>3</v>
      </c>
      <c r="U28" s="24">
        <f t="shared" si="46"/>
        <v>-6</v>
      </c>
      <c r="V28" s="24" t="s">
        <v>73</v>
      </c>
      <c r="W28" s="24">
        <f>Results!$O$31</f>
        <v>-4</v>
      </c>
      <c r="X28" s="25"/>
      <c r="Y28" s="24">
        <f t="shared" si="47"/>
        <v>0</v>
      </c>
      <c r="Z28" s="24" t="s">
        <v>112</v>
      </c>
      <c r="AA28" s="24">
        <f>Results!$O$36</f>
        <v>5</v>
      </c>
      <c r="AB28" s="25">
        <v>1</v>
      </c>
      <c r="AC28" s="24">
        <f t="shared" si="48"/>
        <v>5</v>
      </c>
      <c r="AD28" s="24" t="s">
        <v>84</v>
      </c>
      <c r="AE28" s="24">
        <f>Results!$O$41</f>
        <v>4</v>
      </c>
      <c r="AF28" s="25">
        <v>2</v>
      </c>
      <c r="AG28" s="24">
        <f t="shared" si="49"/>
        <v>8</v>
      </c>
      <c r="AI28" s="24" t="s">
        <v>91</v>
      </c>
      <c r="AJ28" s="24">
        <f>Results!$O$26</f>
        <v>-2</v>
      </c>
      <c r="AK28" s="25">
        <v>1</v>
      </c>
      <c r="AL28" s="24">
        <f t="shared" si="50"/>
        <v>-2</v>
      </c>
      <c r="AM28" s="24" t="s">
        <v>73</v>
      </c>
      <c r="AN28" s="24">
        <f>Results!$O$31</f>
        <v>-4</v>
      </c>
      <c r="AO28" s="25"/>
      <c r="AP28" s="24">
        <f t="shared" si="51"/>
        <v>0</v>
      </c>
      <c r="AQ28" s="24" t="s">
        <v>112</v>
      </c>
      <c r="AR28" s="24">
        <f>Results!$O$36</f>
        <v>5</v>
      </c>
      <c r="AS28" s="25">
        <v>1</v>
      </c>
      <c r="AT28" s="24">
        <f t="shared" si="52"/>
        <v>5</v>
      </c>
      <c r="AU28" s="24" t="s">
        <v>84</v>
      </c>
      <c r="AV28" s="24">
        <f>Results!$O$41</f>
        <v>4</v>
      </c>
      <c r="AW28" s="25">
        <v>2</v>
      </c>
      <c r="AX28" s="24">
        <f t="shared" si="53"/>
        <v>8</v>
      </c>
    </row>
    <row r="29" spans="1:50" ht="13.5" customHeight="1" x14ac:dyDescent="0.2">
      <c r="A29" s="14" t="s">
        <v>97</v>
      </c>
      <c r="B29" s="15" t="s">
        <v>51</v>
      </c>
      <c r="C29" s="16" t="s">
        <v>21</v>
      </c>
      <c r="D29" s="15" t="s">
        <v>49</v>
      </c>
      <c r="E29" s="15" t="s">
        <v>98</v>
      </c>
      <c r="F29" s="15" t="s">
        <v>51</v>
      </c>
      <c r="G29" s="16" t="s">
        <v>21</v>
      </c>
      <c r="H29" s="15" t="s">
        <v>49</v>
      </c>
      <c r="I29" s="15" t="s">
        <v>99</v>
      </c>
      <c r="J29" s="15" t="s">
        <v>51</v>
      </c>
      <c r="K29" s="16" t="s">
        <v>21</v>
      </c>
      <c r="L29" s="15" t="s">
        <v>49</v>
      </c>
      <c r="M29" s="15" t="s">
        <v>100</v>
      </c>
      <c r="N29" s="15" t="s">
        <v>51</v>
      </c>
      <c r="O29" s="16" t="s">
        <v>21</v>
      </c>
      <c r="P29" s="15" t="s">
        <v>49</v>
      </c>
      <c r="R29" s="14" t="s">
        <v>97</v>
      </c>
      <c r="S29" s="15" t="s">
        <v>51</v>
      </c>
      <c r="T29" s="16" t="s">
        <v>21</v>
      </c>
      <c r="U29" s="15" t="s">
        <v>49</v>
      </c>
      <c r="V29" s="15" t="s">
        <v>98</v>
      </c>
      <c r="W29" s="15" t="s">
        <v>51</v>
      </c>
      <c r="X29" s="16" t="s">
        <v>21</v>
      </c>
      <c r="Y29" s="15" t="s">
        <v>49</v>
      </c>
      <c r="Z29" s="15" t="s">
        <v>99</v>
      </c>
      <c r="AA29" s="15" t="s">
        <v>51</v>
      </c>
      <c r="AB29" s="16" t="s">
        <v>21</v>
      </c>
      <c r="AC29" s="15" t="s">
        <v>49</v>
      </c>
      <c r="AD29" s="15" t="s">
        <v>100</v>
      </c>
      <c r="AE29" s="15" t="s">
        <v>51</v>
      </c>
      <c r="AF29" s="16" t="s">
        <v>21</v>
      </c>
      <c r="AG29" s="15" t="s">
        <v>49</v>
      </c>
      <c r="AI29" s="14" t="s">
        <v>97</v>
      </c>
      <c r="AJ29" s="15" t="s">
        <v>51</v>
      </c>
      <c r="AK29" s="16" t="s">
        <v>21</v>
      </c>
      <c r="AL29" s="15" t="s">
        <v>49</v>
      </c>
      <c r="AM29" s="15" t="s">
        <v>98</v>
      </c>
      <c r="AN29" s="15" t="s">
        <v>51</v>
      </c>
      <c r="AO29" s="16" t="s">
        <v>21</v>
      </c>
      <c r="AP29" s="15" t="s">
        <v>49</v>
      </c>
      <c r="AQ29" s="15" t="s">
        <v>99</v>
      </c>
      <c r="AR29" s="15" t="s">
        <v>51</v>
      </c>
      <c r="AS29" s="16" t="s">
        <v>21</v>
      </c>
      <c r="AT29" s="15" t="s">
        <v>49</v>
      </c>
      <c r="AU29" s="15" t="s">
        <v>100</v>
      </c>
      <c r="AV29" s="15" t="s">
        <v>51</v>
      </c>
      <c r="AW29" s="16" t="s">
        <v>21</v>
      </c>
      <c r="AX29" s="15" t="s">
        <v>49</v>
      </c>
    </row>
    <row r="30" spans="1:50" ht="13.5" customHeight="1" x14ac:dyDescent="0.2">
      <c r="A30" s="3" t="s">
        <v>8</v>
      </c>
      <c r="B30" s="3">
        <f>Results!$O$43</f>
        <v>10</v>
      </c>
      <c r="C30" s="11">
        <v>2</v>
      </c>
      <c r="D30" s="3">
        <f t="shared" ref="D30:D33" si="54">B30*C30</f>
        <v>20</v>
      </c>
      <c r="E30" s="3" t="s">
        <v>69</v>
      </c>
      <c r="F30" s="3">
        <f>Results!$O$48</f>
        <v>11</v>
      </c>
      <c r="G30" s="11">
        <v>3</v>
      </c>
      <c r="H30" s="3">
        <f t="shared" ref="H30:H33" si="55">F30*G30</f>
        <v>33</v>
      </c>
      <c r="I30" s="3" t="s">
        <v>19</v>
      </c>
      <c r="J30" s="3">
        <f>Results!$O$53</f>
        <v>1</v>
      </c>
      <c r="K30" s="11">
        <v>3</v>
      </c>
      <c r="L30" s="3">
        <f t="shared" ref="L30:L33" si="56">J30*K30</f>
        <v>3</v>
      </c>
      <c r="M30" s="3" t="s">
        <v>10</v>
      </c>
      <c r="N30" s="3">
        <f>Results!$O$58</f>
        <v>11</v>
      </c>
      <c r="O30" s="11">
        <v>5</v>
      </c>
      <c r="P30" s="3">
        <f t="shared" ref="P30:P33" si="57">N30*O30</f>
        <v>55</v>
      </c>
      <c r="R30" s="3" t="s">
        <v>8</v>
      </c>
      <c r="S30" s="3">
        <f>Results!$O$43</f>
        <v>10</v>
      </c>
      <c r="T30" s="11">
        <v>3</v>
      </c>
      <c r="U30" s="3">
        <f t="shared" ref="U30:U33" si="58">S30*T30</f>
        <v>30</v>
      </c>
      <c r="V30" s="3" t="s">
        <v>69</v>
      </c>
      <c r="W30" s="3">
        <f>Results!$O$48</f>
        <v>11</v>
      </c>
      <c r="X30" s="11">
        <v>3</v>
      </c>
      <c r="Y30" s="3">
        <f t="shared" ref="Y30:Y33" si="59">W30*X30</f>
        <v>33</v>
      </c>
      <c r="Z30" s="3" t="s">
        <v>19</v>
      </c>
      <c r="AA30" s="3">
        <f>Results!$O$53</f>
        <v>1</v>
      </c>
      <c r="AB30" s="11">
        <v>3</v>
      </c>
      <c r="AC30" s="3">
        <f t="shared" ref="AC30:AC33" si="60">AA30*AB30</f>
        <v>3</v>
      </c>
      <c r="AD30" s="3" t="s">
        <v>10</v>
      </c>
      <c r="AE30" s="3">
        <f>Results!$O$58</f>
        <v>11</v>
      </c>
      <c r="AF30" s="11">
        <v>3</v>
      </c>
      <c r="AG30" s="3">
        <f t="shared" ref="AG30:AG33" si="61">AE30*AF30</f>
        <v>33</v>
      </c>
      <c r="AI30" s="3" t="s">
        <v>8</v>
      </c>
      <c r="AJ30" s="3">
        <f>Results!$O$43</f>
        <v>10</v>
      </c>
      <c r="AK30" s="11">
        <v>3</v>
      </c>
      <c r="AL30" s="3">
        <f t="shared" ref="AL30:AL33" si="62">AJ30*AK30</f>
        <v>30</v>
      </c>
      <c r="AM30" s="3" t="s">
        <v>69</v>
      </c>
      <c r="AN30" s="3">
        <f>Results!$O$48</f>
        <v>11</v>
      </c>
      <c r="AO30" s="11">
        <v>3</v>
      </c>
      <c r="AP30" s="3">
        <f t="shared" ref="AP30:AP33" si="63">AN30*AO30</f>
        <v>33</v>
      </c>
      <c r="AQ30" s="3" t="s">
        <v>19</v>
      </c>
      <c r="AR30" s="3">
        <f>Results!$O$53</f>
        <v>1</v>
      </c>
      <c r="AS30" s="11">
        <v>3</v>
      </c>
      <c r="AT30" s="3">
        <f t="shared" ref="AT30:AT33" si="64">AR30*AS30</f>
        <v>3</v>
      </c>
      <c r="AU30" s="3" t="s">
        <v>10</v>
      </c>
      <c r="AV30" s="3">
        <f>Results!$O$58</f>
        <v>11</v>
      </c>
      <c r="AW30" s="11">
        <v>5</v>
      </c>
      <c r="AX30" s="3">
        <f t="shared" ref="AX30:AX33" si="65">AV30*AW30</f>
        <v>55</v>
      </c>
    </row>
    <row r="31" spans="1:50" ht="13.5" customHeight="1" x14ac:dyDescent="0.2">
      <c r="A31" s="3" t="s">
        <v>66</v>
      </c>
      <c r="B31" s="3">
        <f>Results!$O$44</f>
        <v>-1</v>
      </c>
      <c r="C31" s="11">
        <v>1</v>
      </c>
      <c r="D31" s="3">
        <f t="shared" si="54"/>
        <v>-1</v>
      </c>
      <c r="E31" s="3" t="s">
        <v>116</v>
      </c>
      <c r="F31" s="3">
        <f>Results!$O$49</f>
        <v>-3</v>
      </c>
      <c r="G31" s="11"/>
      <c r="H31" s="3">
        <f t="shared" si="55"/>
        <v>0</v>
      </c>
      <c r="I31" s="3" t="s">
        <v>119</v>
      </c>
      <c r="J31" s="3">
        <f>Results!$O$54</f>
        <v>3</v>
      </c>
      <c r="K31" s="11">
        <v>1</v>
      </c>
      <c r="L31" s="3">
        <f t="shared" si="56"/>
        <v>3</v>
      </c>
      <c r="M31" s="3" t="s">
        <v>16</v>
      </c>
      <c r="N31" s="3">
        <f>Results!$O$59</f>
        <v>0</v>
      </c>
      <c r="O31" s="11">
        <v>3</v>
      </c>
      <c r="P31" s="3">
        <f t="shared" si="57"/>
        <v>0</v>
      </c>
      <c r="R31" s="3" t="s">
        <v>66</v>
      </c>
      <c r="S31" s="3">
        <f>Results!$O$44</f>
        <v>-1</v>
      </c>
      <c r="T31" s="11"/>
      <c r="U31" s="3">
        <f t="shared" si="58"/>
        <v>0</v>
      </c>
      <c r="V31" s="3" t="s">
        <v>116</v>
      </c>
      <c r="W31" s="3">
        <f>Results!$O$49</f>
        <v>-3</v>
      </c>
      <c r="X31" s="11"/>
      <c r="Y31" s="3">
        <f t="shared" si="59"/>
        <v>0</v>
      </c>
      <c r="Z31" s="3" t="s">
        <v>119</v>
      </c>
      <c r="AA31" s="3">
        <f>Results!$O$54</f>
        <v>3</v>
      </c>
      <c r="AB31" s="11">
        <v>1</v>
      </c>
      <c r="AC31" s="3">
        <f t="shared" si="60"/>
        <v>3</v>
      </c>
      <c r="AD31" s="3" t="s">
        <v>16</v>
      </c>
      <c r="AE31" s="3">
        <f>Results!$O$59</f>
        <v>0</v>
      </c>
      <c r="AF31" s="11">
        <v>2</v>
      </c>
      <c r="AG31" s="3">
        <f t="shared" si="61"/>
        <v>0</v>
      </c>
      <c r="AI31" s="3" t="s">
        <v>66</v>
      </c>
      <c r="AJ31" s="3">
        <f>Results!$O$44</f>
        <v>-1</v>
      </c>
      <c r="AK31" s="11">
        <v>1</v>
      </c>
      <c r="AL31" s="3">
        <f t="shared" si="62"/>
        <v>-1</v>
      </c>
      <c r="AM31" s="3" t="s">
        <v>116</v>
      </c>
      <c r="AN31" s="3">
        <f>Results!$O$49</f>
        <v>-3</v>
      </c>
      <c r="AO31" s="11">
        <v>1</v>
      </c>
      <c r="AP31" s="3">
        <f t="shared" si="63"/>
        <v>-3</v>
      </c>
      <c r="AQ31" s="3" t="s">
        <v>119</v>
      </c>
      <c r="AR31" s="3">
        <f>Results!$O$54</f>
        <v>3</v>
      </c>
      <c r="AS31" s="11"/>
      <c r="AT31" s="3">
        <f t="shared" si="64"/>
        <v>0</v>
      </c>
      <c r="AU31" s="3" t="s">
        <v>16</v>
      </c>
      <c r="AV31" s="3">
        <f>Results!$O$59</f>
        <v>0</v>
      </c>
      <c r="AW31" s="11">
        <v>3</v>
      </c>
      <c r="AX31" s="3">
        <f t="shared" si="65"/>
        <v>0</v>
      </c>
    </row>
    <row r="32" spans="1:50" ht="13.5" customHeight="1" x14ac:dyDescent="0.2">
      <c r="A32" s="3" t="s">
        <v>114</v>
      </c>
      <c r="B32" s="3">
        <f>Results!$O$45</f>
        <v>-3</v>
      </c>
      <c r="C32" s="11"/>
      <c r="D32" s="3">
        <f t="shared" si="54"/>
        <v>0</v>
      </c>
      <c r="E32" s="3" t="s">
        <v>117</v>
      </c>
      <c r="F32" s="3">
        <f>Results!$O$50</f>
        <v>9</v>
      </c>
      <c r="G32" s="11">
        <v>2</v>
      </c>
      <c r="H32" s="3">
        <f t="shared" si="55"/>
        <v>18</v>
      </c>
      <c r="I32" s="3" t="s">
        <v>120</v>
      </c>
      <c r="J32" s="3">
        <f>Results!$O$55</f>
        <v>-2</v>
      </c>
      <c r="K32" s="11"/>
      <c r="L32" s="3">
        <f t="shared" si="56"/>
        <v>0</v>
      </c>
      <c r="M32" s="3" t="s">
        <v>83</v>
      </c>
      <c r="N32" s="3">
        <f>Results!$O$60</f>
        <v>6</v>
      </c>
      <c r="O32" s="11">
        <v>2</v>
      </c>
      <c r="P32" s="3">
        <f t="shared" si="57"/>
        <v>12</v>
      </c>
      <c r="R32" s="3" t="s">
        <v>114</v>
      </c>
      <c r="S32" s="3">
        <f>Results!$O$45</f>
        <v>-3</v>
      </c>
      <c r="T32" s="11">
        <v>1</v>
      </c>
      <c r="U32" s="3">
        <f t="shared" si="58"/>
        <v>-3</v>
      </c>
      <c r="V32" s="3" t="s">
        <v>117</v>
      </c>
      <c r="W32" s="3">
        <f>Results!$O$50</f>
        <v>9</v>
      </c>
      <c r="X32" s="11">
        <v>2</v>
      </c>
      <c r="Y32" s="3">
        <f t="shared" si="59"/>
        <v>18</v>
      </c>
      <c r="Z32" s="3" t="s">
        <v>120</v>
      </c>
      <c r="AA32" s="3">
        <f>Results!$O$55</f>
        <v>-2</v>
      </c>
      <c r="AB32" s="11"/>
      <c r="AC32" s="3">
        <f t="shared" si="60"/>
        <v>0</v>
      </c>
      <c r="AD32" s="3" t="s">
        <v>83</v>
      </c>
      <c r="AE32" s="3">
        <f>Results!$O$60</f>
        <v>6</v>
      </c>
      <c r="AF32" s="11">
        <v>1</v>
      </c>
      <c r="AG32" s="3">
        <f t="shared" si="61"/>
        <v>6</v>
      </c>
      <c r="AI32" s="3" t="s">
        <v>114</v>
      </c>
      <c r="AJ32" s="3">
        <f>Results!$O$45</f>
        <v>-3</v>
      </c>
      <c r="AK32" s="11"/>
      <c r="AL32" s="3">
        <f t="shared" si="62"/>
        <v>0</v>
      </c>
      <c r="AM32" s="3" t="s">
        <v>117</v>
      </c>
      <c r="AN32" s="3">
        <f>Results!$O$50</f>
        <v>9</v>
      </c>
      <c r="AO32" s="11">
        <v>2</v>
      </c>
      <c r="AP32" s="3">
        <f t="shared" si="63"/>
        <v>18</v>
      </c>
      <c r="AQ32" s="3" t="s">
        <v>120</v>
      </c>
      <c r="AR32" s="3">
        <f>Results!$O$55</f>
        <v>-2</v>
      </c>
      <c r="AS32" s="11">
        <v>1</v>
      </c>
      <c r="AT32" s="3">
        <f t="shared" si="64"/>
        <v>-2</v>
      </c>
      <c r="AU32" s="3" t="s">
        <v>83</v>
      </c>
      <c r="AV32" s="3">
        <f>Results!$O$60</f>
        <v>6</v>
      </c>
      <c r="AW32" s="11">
        <v>2</v>
      </c>
      <c r="AX32" s="3">
        <f t="shared" si="65"/>
        <v>12</v>
      </c>
    </row>
    <row r="33" spans="1:50" ht="13.5" customHeight="1" thickBot="1" x14ac:dyDescent="0.25">
      <c r="A33" s="19" t="s">
        <v>115</v>
      </c>
      <c r="B33" s="19">
        <f>Results!$O$46</f>
        <v>12</v>
      </c>
      <c r="C33" s="20">
        <v>3</v>
      </c>
      <c r="D33" s="19">
        <f t="shared" si="54"/>
        <v>36</v>
      </c>
      <c r="E33" s="19" t="s">
        <v>118</v>
      </c>
      <c r="F33" s="19">
        <f>Results!$O$51</f>
        <v>-1</v>
      </c>
      <c r="G33" s="20">
        <v>1</v>
      </c>
      <c r="H33" s="19">
        <f t="shared" si="55"/>
        <v>-1</v>
      </c>
      <c r="I33" s="19" t="s">
        <v>121</v>
      </c>
      <c r="J33" s="19">
        <f>Results!$O$56</f>
        <v>9</v>
      </c>
      <c r="K33" s="20">
        <v>2</v>
      </c>
      <c r="L33" s="19">
        <f t="shared" si="56"/>
        <v>18</v>
      </c>
      <c r="M33" s="19" t="s">
        <v>122</v>
      </c>
      <c r="N33" s="19">
        <f>Results!$O$61</f>
        <v>-3</v>
      </c>
      <c r="O33" s="20">
        <v>1</v>
      </c>
      <c r="P33" s="19">
        <f t="shared" si="57"/>
        <v>-3</v>
      </c>
      <c r="R33" s="19" t="s">
        <v>115</v>
      </c>
      <c r="S33" s="19">
        <f>Results!$O$46</f>
        <v>12</v>
      </c>
      <c r="T33" s="20">
        <v>2</v>
      </c>
      <c r="U33" s="19">
        <f t="shared" si="58"/>
        <v>24</v>
      </c>
      <c r="V33" s="19" t="s">
        <v>118</v>
      </c>
      <c r="W33" s="19">
        <f>Results!$O$51</f>
        <v>-1</v>
      </c>
      <c r="X33" s="20">
        <v>1</v>
      </c>
      <c r="Y33" s="19">
        <f t="shared" si="59"/>
        <v>-1</v>
      </c>
      <c r="Z33" s="19" t="s">
        <v>121</v>
      </c>
      <c r="AA33" s="19">
        <f>Results!$O$56</f>
        <v>9</v>
      </c>
      <c r="AB33" s="20">
        <v>2</v>
      </c>
      <c r="AC33" s="19">
        <f t="shared" si="60"/>
        <v>18</v>
      </c>
      <c r="AD33" s="19" t="s">
        <v>122</v>
      </c>
      <c r="AE33" s="19">
        <f>Results!$O$61</f>
        <v>-3</v>
      </c>
      <c r="AF33" s="20"/>
      <c r="AG33" s="19">
        <f t="shared" si="61"/>
        <v>0</v>
      </c>
      <c r="AI33" s="19" t="s">
        <v>115</v>
      </c>
      <c r="AJ33" s="19">
        <f>Results!$O$46</f>
        <v>12</v>
      </c>
      <c r="AK33" s="20">
        <v>2</v>
      </c>
      <c r="AL33" s="19">
        <f t="shared" si="62"/>
        <v>24</v>
      </c>
      <c r="AM33" s="19" t="s">
        <v>118</v>
      </c>
      <c r="AN33" s="19">
        <f>Results!$O$51</f>
        <v>-1</v>
      </c>
      <c r="AO33" s="20"/>
      <c r="AP33" s="19">
        <f t="shared" si="63"/>
        <v>0</v>
      </c>
      <c r="AQ33" s="19" t="s">
        <v>121</v>
      </c>
      <c r="AR33" s="19">
        <f>Results!$O$56</f>
        <v>9</v>
      </c>
      <c r="AS33" s="20">
        <v>2</v>
      </c>
      <c r="AT33" s="19">
        <f t="shared" si="64"/>
        <v>18</v>
      </c>
      <c r="AU33" s="19" t="s">
        <v>122</v>
      </c>
      <c r="AV33" s="19">
        <f>Results!$O$61</f>
        <v>-3</v>
      </c>
      <c r="AW33" s="20">
        <v>1</v>
      </c>
      <c r="AX33" s="19">
        <f t="shared" si="65"/>
        <v>-3</v>
      </c>
    </row>
    <row r="34" spans="1:50" s="27" customFormat="1" ht="13.5" customHeight="1" thickBot="1" x14ac:dyDescent="0.25">
      <c r="A34" s="28"/>
      <c r="B34" s="28"/>
      <c r="C34" s="29"/>
      <c r="D34" s="28"/>
      <c r="E34" s="28"/>
      <c r="F34" s="28"/>
      <c r="G34" s="29"/>
      <c r="H34" s="28"/>
      <c r="I34" s="28"/>
      <c r="J34" s="28"/>
      <c r="K34" s="29"/>
      <c r="L34" s="28"/>
      <c r="M34" s="28"/>
      <c r="N34" s="28"/>
      <c r="O34" s="29"/>
      <c r="P34" s="30"/>
      <c r="R34" s="28"/>
      <c r="S34" s="28"/>
      <c r="T34" s="29"/>
      <c r="U34" s="28"/>
      <c r="V34" s="28"/>
      <c r="W34" s="28"/>
      <c r="X34" s="29"/>
      <c r="Y34" s="28"/>
      <c r="Z34" s="28"/>
      <c r="AA34" s="28"/>
      <c r="AB34" s="29"/>
      <c r="AC34" s="28"/>
      <c r="AD34" s="28"/>
      <c r="AE34" s="28"/>
      <c r="AF34" s="29"/>
      <c r="AG34" s="30"/>
      <c r="AI34" s="28"/>
      <c r="AJ34" s="28"/>
      <c r="AK34" s="29"/>
      <c r="AL34" s="28"/>
      <c r="AM34" s="28"/>
      <c r="AN34" s="28"/>
      <c r="AO34" s="29"/>
      <c r="AP34" s="28"/>
      <c r="AQ34" s="28"/>
      <c r="AR34" s="28"/>
      <c r="AS34" s="29"/>
      <c r="AT34" s="28"/>
      <c r="AU34" s="28"/>
      <c r="AV34" s="28"/>
      <c r="AW34" s="29"/>
      <c r="AX34" s="30"/>
    </row>
    <row r="35" spans="1:50" ht="13.5" customHeight="1" x14ac:dyDescent="0.2">
      <c r="A35" s="12" t="s">
        <v>0</v>
      </c>
      <c r="B35" s="59" t="s">
        <v>127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13" t="s">
        <v>50</v>
      </c>
      <c r="N35" s="61">
        <f>SUM(D37:D40,D42:D45,H37:H40, H42:H45,L37:L40,L42:L45,P37:P40,P42:P45,D47:D50,H47:H50,L47:L50,P47:P50)</f>
        <v>375</v>
      </c>
      <c r="O35" s="60"/>
      <c r="P35" s="62"/>
      <c r="R35" s="12" t="s">
        <v>0</v>
      </c>
      <c r="S35" s="59" t="s">
        <v>136</v>
      </c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13" t="s">
        <v>50</v>
      </c>
      <c r="AE35" s="61">
        <f>SUM(U37:U40,U42:U45,Y37:Y40, Y42:Y45,AC37:AC40,AC42:AC45,AG37:AG40,AG42:AG45,U47:U50,Y47:Y50,AC47:AC50,AG47:AG50)</f>
        <v>317</v>
      </c>
      <c r="AF35" s="60"/>
      <c r="AG35" s="62"/>
      <c r="AI35" s="12" t="s">
        <v>0</v>
      </c>
      <c r="AJ35" s="59" t="s">
        <v>145</v>
      </c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13" t="s">
        <v>50</v>
      </c>
      <c r="AV35" s="61">
        <f>SUM(AL37:AL40,AL42:AL45,AP37:AP40, AP42:AP45,AT37:AT40,AT42:AT45,AX37:AX40,AX42:AX45,AL47:AL50,AP47:AP50,AT47:AT50,AX47:AX50)</f>
        <v>363</v>
      </c>
      <c r="AW35" s="60"/>
      <c r="AX35" s="62"/>
    </row>
    <row r="36" spans="1:50" ht="13.5" customHeight="1" x14ac:dyDescent="0.2">
      <c r="A36" s="14" t="s">
        <v>3</v>
      </c>
      <c r="B36" s="15" t="s">
        <v>51</v>
      </c>
      <c r="C36" s="16" t="s">
        <v>21</v>
      </c>
      <c r="D36" s="15" t="s">
        <v>49</v>
      </c>
      <c r="E36" s="15" t="s">
        <v>6</v>
      </c>
      <c r="F36" s="15" t="s">
        <v>51</v>
      </c>
      <c r="G36" s="16" t="s">
        <v>21</v>
      </c>
      <c r="H36" s="15" t="s">
        <v>49</v>
      </c>
      <c r="I36" s="15" t="s">
        <v>7</v>
      </c>
      <c r="J36" s="15" t="s">
        <v>51</v>
      </c>
      <c r="K36" s="16" t="s">
        <v>21</v>
      </c>
      <c r="L36" s="15" t="s">
        <v>49</v>
      </c>
      <c r="M36" s="15" t="s">
        <v>13</v>
      </c>
      <c r="N36" s="15" t="s">
        <v>51</v>
      </c>
      <c r="O36" s="16" t="s">
        <v>21</v>
      </c>
      <c r="P36" s="17" t="s">
        <v>49</v>
      </c>
      <c r="R36" s="14" t="s">
        <v>3</v>
      </c>
      <c r="S36" s="15" t="s">
        <v>51</v>
      </c>
      <c r="T36" s="16" t="s">
        <v>21</v>
      </c>
      <c r="U36" s="15" t="s">
        <v>49</v>
      </c>
      <c r="V36" s="15" t="s">
        <v>6</v>
      </c>
      <c r="W36" s="15" t="s">
        <v>51</v>
      </c>
      <c r="X36" s="16" t="s">
        <v>21</v>
      </c>
      <c r="Y36" s="15" t="s">
        <v>49</v>
      </c>
      <c r="Z36" s="15" t="s">
        <v>7</v>
      </c>
      <c r="AA36" s="15" t="s">
        <v>51</v>
      </c>
      <c r="AB36" s="16" t="s">
        <v>21</v>
      </c>
      <c r="AC36" s="15" t="s">
        <v>49</v>
      </c>
      <c r="AD36" s="15" t="s">
        <v>13</v>
      </c>
      <c r="AE36" s="15" t="s">
        <v>51</v>
      </c>
      <c r="AF36" s="16" t="s">
        <v>21</v>
      </c>
      <c r="AG36" s="17" t="s">
        <v>49</v>
      </c>
      <c r="AI36" s="14" t="s">
        <v>3</v>
      </c>
      <c r="AJ36" s="15" t="s">
        <v>51</v>
      </c>
      <c r="AK36" s="16" t="s">
        <v>21</v>
      </c>
      <c r="AL36" s="15" t="s">
        <v>49</v>
      </c>
      <c r="AM36" s="15" t="s">
        <v>6</v>
      </c>
      <c r="AN36" s="15" t="s">
        <v>51</v>
      </c>
      <c r="AO36" s="16" t="s">
        <v>21</v>
      </c>
      <c r="AP36" s="15" t="s">
        <v>49</v>
      </c>
      <c r="AQ36" s="15" t="s">
        <v>7</v>
      </c>
      <c r="AR36" s="15" t="s">
        <v>51</v>
      </c>
      <c r="AS36" s="16" t="s">
        <v>21</v>
      </c>
      <c r="AT36" s="15" t="s">
        <v>49</v>
      </c>
      <c r="AU36" s="15" t="s">
        <v>13</v>
      </c>
      <c r="AV36" s="15" t="s">
        <v>51</v>
      </c>
      <c r="AW36" s="16" t="s">
        <v>21</v>
      </c>
      <c r="AX36" s="17" t="s">
        <v>49</v>
      </c>
    </row>
    <row r="37" spans="1:50" ht="13.5" customHeight="1" x14ac:dyDescent="0.2">
      <c r="A37" s="3" t="s">
        <v>71</v>
      </c>
      <c r="B37" s="3">
        <f>Results!$O$3</f>
        <v>3</v>
      </c>
      <c r="C37" s="11">
        <v>3</v>
      </c>
      <c r="D37" s="3">
        <f t="shared" ref="D37:D40" si="66">B37*C37</f>
        <v>9</v>
      </c>
      <c r="E37" s="3" t="s">
        <v>76</v>
      </c>
      <c r="F37" s="3">
        <f>Results!$O$8</f>
        <v>2</v>
      </c>
      <c r="G37" s="11">
        <v>2</v>
      </c>
      <c r="H37" s="3">
        <f t="shared" ref="H37:H40" si="67">F37*G37</f>
        <v>4</v>
      </c>
      <c r="I37" s="3" t="s">
        <v>80</v>
      </c>
      <c r="J37" s="3">
        <f>Results!$O$13</f>
        <v>2</v>
      </c>
      <c r="K37" s="11">
        <v>3</v>
      </c>
      <c r="L37" s="3">
        <f t="shared" ref="L37:L40" si="68">J37*K37</f>
        <v>6</v>
      </c>
      <c r="M37" s="3" t="s">
        <v>68</v>
      </c>
      <c r="N37" s="3">
        <f>Results!$O$18</f>
        <v>11</v>
      </c>
      <c r="O37" s="11">
        <v>3</v>
      </c>
      <c r="P37" s="18">
        <f>N37*O37</f>
        <v>33</v>
      </c>
      <c r="R37" s="3" t="s">
        <v>71</v>
      </c>
      <c r="S37" s="3">
        <f>Results!$O$3</f>
        <v>3</v>
      </c>
      <c r="T37" s="11">
        <v>3</v>
      </c>
      <c r="U37" s="3">
        <f t="shared" ref="U37:U40" si="69">S37*T37</f>
        <v>9</v>
      </c>
      <c r="V37" s="3" t="s">
        <v>76</v>
      </c>
      <c r="W37" s="3">
        <f>Results!$O$8</f>
        <v>2</v>
      </c>
      <c r="X37" s="11">
        <v>2</v>
      </c>
      <c r="Y37" s="3">
        <f t="shared" ref="Y37:Y40" si="70">W37*X37</f>
        <v>4</v>
      </c>
      <c r="Z37" s="3" t="s">
        <v>80</v>
      </c>
      <c r="AA37" s="3">
        <f>Results!$O$13</f>
        <v>2</v>
      </c>
      <c r="AB37" s="11">
        <v>3</v>
      </c>
      <c r="AC37" s="3">
        <f t="shared" ref="AC37:AC40" si="71">AA37*AB37</f>
        <v>6</v>
      </c>
      <c r="AD37" s="3" t="s">
        <v>68</v>
      </c>
      <c r="AE37" s="3">
        <f>Results!$O$18</f>
        <v>11</v>
      </c>
      <c r="AF37" s="11">
        <v>1</v>
      </c>
      <c r="AG37" s="18">
        <f>AE37*AF37</f>
        <v>11</v>
      </c>
      <c r="AI37" s="3" t="s">
        <v>71</v>
      </c>
      <c r="AJ37" s="3">
        <f>Results!$O$3</f>
        <v>3</v>
      </c>
      <c r="AK37" s="11">
        <v>3</v>
      </c>
      <c r="AL37" s="3">
        <f t="shared" ref="AL37:AL40" si="72">AJ37*AK37</f>
        <v>9</v>
      </c>
      <c r="AM37" s="3" t="s">
        <v>76</v>
      </c>
      <c r="AN37" s="3">
        <f>Results!$O$8</f>
        <v>2</v>
      </c>
      <c r="AO37" s="11">
        <v>2</v>
      </c>
      <c r="AP37" s="3">
        <f t="shared" ref="AP37:AP40" si="73">AN37*AO37</f>
        <v>4</v>
      </c>
      <c r="AQ37" s="3" t="s">
        <v>80</v>
      </c>
      <c r="AR37" s="3">
        <f>Results!$O$13</f>
        <v>2</v>
      </c>
      <c r="AS37" s="11">
        <v>3</v>
      </c>
      <c r="AT37" s="3">
        <f t="shared" ref="AT37:AT40" si="74">AR37*AS37</f>
        <v>6</v>
      </c>
      <c r="AU37" s="3" t="s">
        <v>68</v>
      </c>
      <c r="AV37" s="3">
        <f>Results!$O$18</f>
        <v>11</v>
      </c>
      <c r="AW37" s="11">
        <v>3</v>
      </c>
      <c r="AX37" s="18">
        <f>AV37*AW37</f>
        <v>33</v>
      </c>
    </row>
    <row r="38" spans="1:50" ht="13.5" customHeight="1" x14ac:dyDescent="0.2">
      <c r="A38" s="3" t="s">
        <v>123</v>
      </c>
      <c r="B38" s="3">
        <f>Results!$O$4</f>
        <v>-14</v>
      </c>
      <c r="C38" s="11"/>
      <c r="D38" s="3">
        <f t="shared" si="66"/>
        <v>0</v>
      </c>
      <c r="E38" s="3" t="s">
        <v>103</v>
      </c>
      <c r="F38" s="3">
        <f>Results!$O$9</f>
        <v>1</v>
      </c>
      <c r="G38" s="11">
        <v>1</v>
      </c>
      <c r="H38" s="3">
        <f t="shared" si="67"/>
        <v>1</v>
      </c>
      <c r="I38" s="3" t="s">
        <v>77</v>
      </c>
      <c r="J38" s="3">
        <f>Results!$O$14</f>
        <v>4</v>
      </c>
      <c r="K38" s="11">
        <v>2</v>
      </c>
      <c r="L38" s="3">
        <f t="shared" si="68"/>
        <v>8</v>
      </c>
      <c r="M38" s="3" t="s">
        <v>106</v>
      </c>
      <c r="N38" s="3">
        <f>Results!$O$19</f>
        <v>-7</v>
      </c>
      <c r="O38" s="11">
        <v>1</v>
      </c>
      <c r="P38" s="18">
        <f>N38*O38</f>
        <v>-7</v>
      </c>
      <c r="R38" s="3" t="s">
        <v>123</v>
      </c>
      <c r="S38" s="3">
        <f>Results!$O$4</f>
        <v>-14</v>
      </c>
      <c r="T38" s="11">
        <v>1</v>
      </c>
      <c r="U38" s="3">
        <f t="shared" si="69"/>
        <v>-14</v>
      </c>
      <c r="V38" s="3" t="s">
        <v>103</v>
      </c>
      <c r="W38" s="3">
        <f>Results!$O$9</f>
        <v>1</v>
      </c>
      <c r="X38" s="11">
        <v>1</v>
      </c>
      <c r="Y38" s="3">
        <f t="shared" si="70"/>
        <v>1</v>
      </c>
      <c r="Z38" s="3" t="s">
        <v>77</v>
      </c>
      <c r="AA38" s="3">
        <f>Results!$O$14</f>
        <v>4</v>
      </c>
      <c r="AB38" s="11">
        <v>1</v>
      </c>
      <c r="AC38" s="3">
        <f t="shared" si="71"/>
        <v>4</v>
      </c>
      <c r="AD38" s="3" t="s">
        <v>106</v>
      </c>
      <c r="AE38" s="3">
        <f>Results!$O$19</f>
        <v>-7</v>
      </c>
      <c r="AF38" s="11">
        <v>3</v>
      </c>
      <c r="AG38" s="18">
        <f>AE38*AF38</f>
        <v>-21</v>
      </c>
      <c r="AI38" s="3" t="s">
        <v>123</v>
      </c>
      <c r="AJ38" s="3">
        <f>Results!$O$4</f>
        <v>-14</v>
      </c>
      <c r="AK38" s="11"/>
      <c r="AL38" s="3">
        <f t="shared" si="72"/>
        <v>0</v>
      </c>
      <c r="AM38" s="3" t="s">
        <v>103</v>
      </c>
      <c r="AN38" s="3">
        <f>Results!$O$9</f>
        <v>1</v>
      </c>
      <c r="AO38" s="11"/>
      <c r="AP38" s="3">
        <f t="shared" si="73"/>
        <v>0</v>
      </c>
      <c r="AQ38" s="3" t="s">
        <v>77</v>
      </c>
      <c r="AR38" s="3">
        <f>Results!$O$14</f>
        <v>4</v>
      </c>
      <c r="AS38" s="11">
        <v>2</v>
      </c>
      <c r="AT38" s="3">
        <f t="shared" si="74"/>
        <v>8</v>
      </c>
      <c r="AU38" s="3" t="s">
        <v>106</v>
      </c>
      <c r="AV38" s="3">
        <f>Results!$O$19</f>
        <v>-7</v>
      </c>
      <c r="AW38" s="11">
        <v>2</v>
      </c>
      <c r="AX38" s="18">
        <f>AV38*AW38</f>
        <v>-14</v>
      </c>
    </row>
    <row r="39" spans="1:50" ht="13.5" customHeight="1" x14ac:dyDescent="0.2">
      <c r="A39" s="3" t="s">
        <v>124</v>
      </c>
      <c r="B39" s="3">
        <f>Results!$O$5</f>
        <v>7</v>
      </c>
      <c r="C39" s="11">
        <v>1</v>
      </c>
      <c r="D39" s="3">
        <f t="shared" si="66"/>
        <v>7</v>
      </c>
      <c r="E39" s="3" t="s">
        <v>65</v>
      </c>
      <c r="F39" s="3">
        <f>Results!$O$10</f>
        <v>2</v>
      </c>
      <c r="G39" s="11"/>
      <c r="H39" s="3">
        <f t="shared" si="67"/>
        <v>0</v>
      </c>
      <c r="I39" s="3" t="s">
        <v>104</v>
      </c>
      <c r="J39" s="3">
        <f>Results!$O$15</f>
        <v>-2</v>
      </c>
      <c r="K39" s="11"/>
      <c r="L39" s="3">
        <f t="shared" si="68"/>
        <v>0</v>
      </c>
      <c r="M39" s="3" t="s">
        <v>72</v>
      </c>
      <c r="N39" s="3">
        <f>Results!$O$20</f>
        <v>9</v>
      </c>
      <c r="O39" s="11"/>
      <c r="P39" s="18">
        <f>N39*O39</f>
        <v>0</v>
      </c>
      <c r="R39" s="3" t="s">
        <v>124</v>
      </c>
      <c r="S39" s="3">
        <f>Results!$O$5</f>
        <v>7</v>
      </c>
      <c r="T39" s="11">
        <v>2</v>
      </c>
      <c r="U39" s="3">
        <f t="shared" si="69"/>
        <v>14</v>
      </c>
      <c r="V39" s="3" t="s">
        <v>65</v>
      </c>
      <c r="W39" s="3">
        <f>Results!$O$10</f>
        <v>2</v>
      </c>
      <c r="X39" s="11"/>
      <c r="Y39" s="3">
        <f t="shared" si="70"/>
        <v>0</v>
      </c>
      <c r="Z39" s="3" t="s">
        <v>104</v>
      </c>
      <c r="AA39" s="3">
        <f>Results!$O$15</f>
        <v>-2</v>
      </c>
      <c r="AB39" s="11"/>
      <c r="AC39" s="3">
        <f t="shared" si="71"/>
        <v>0</v>
      </c>
      <c r="AD39" s="3" t="s">
        <v>72</v>
      </c>
      <c r="AE39" s="3">
        <f>Results!$O$20</f>
        <v>9</v>
      </c>
      <c r="AF39" s="11"/>
      <c r="AG39" s="18">
        <f>AE39*AF39</f>
        <v>0</v>
      </c>
      <c r="AI39" s="3" t="s">
        <v>124</v>
      </c>
      <c r="AJ39" s="3">
        <f>Results!$O$5</f>
        <v>7</v>
      </c>
      <c r="AK39" s="11">
        <v>1</v>
      </c>
      <c r="AL39" s="3">
        <f t="shared" si="72"/>
        <v>7</v>
      </c>
      <c r="AM39" s="3" t="s">
        <v>65</v>
      </c>
      <c r="AN39" s="3">
        <f>Results!$O$10</f>
        <v>2</v>
      </c>
      <c r="AO39" s="11">
        <v>1</v>
      </c>
      <c r="AP39" s="3">
        <f t="shared" si="73"/>
        <v>2</v>
      </c>
      <c r="AQ39" s="3" t="s">
        <v>104</v>
      </c>
      <c r="AR39" s="3">
        <f>Results!$O$15</f>
        <v>-2</v>
      </c>
      <c r="AS39" s="11"/>
      <c r="AT39" s="3">
        <f t="shared" si="74"/>
        <v>0</v>
      </c>
      <c r="AU39" s="3" t="s">
        <v>72</v>
      </c>
      <c r="AV39" s="3">
        <f>Results!$O$20</f>
        <v>9</v>
      </c>
      <c r="AW39" s="11"/>
      <c r="AX39" s="18">
        <f>AV39*AW39</f>
        <v>0</v>
      </c>
    </row>
    <row r="40" spans="1:50" ht="13.5" customHeight="1" x14ac:dyDescent="0.2">
      <c r="A40" s="3" t="s">
        <v>102</v>
      </c>
      <c r="B40" s="3">
        <f>Results!$O$6</f>
        <v>0</v>
      </c>
      <c r="C40" s="11">
        <v>2</v>
      </c>
      <c r="D40" s="3">
        <f t="shared" si="66"/>
        <v>0</v>
      </c>
      <c r="E40" s="3" t="s">
        <v>12</v>
      </c>
      <c r="F40" s="3">
        <f>Results!$O$11</f>
        <v>3</v>
      </c>
      <c r="G40" s="11">
        <v>3</v>
      </c>
      <c r="H40" s="3">
        <f t="shared" si="67"/>
        <v>9</v>
      </c>
      <c r="I40" s="3" t="s">
        <v>105</v>
      </c>
      <c r="J40" s="3">
        <f>Results!$O$16</f>
        <v>4</v>
      </c>
      <c r="K40" s="11">
        <v>1</v>
      </c>
      <c r="L40" s="3">
        <f t="shared" si="68"/>
        <v>4</v>
      </c>
      <c r="M40" s="3" t="s">
        <v>107</v>
      </c>
      <c r="N40" s="3">
        <f>Results!$O$21</f>
        <v>-3</v>
      </c>
      <c r="O40" s="11">
        <v>2</v>
      </c>
      <c r="P40" s="18">
        <f>N40*O40</f>
        <v>-6</v>
      </c>
      <c r="R40" s="3" t="s">
        <v>102</v>
      </c>
      <c r="S40" s="3">
        <f>Results!$O$6</f>
        <v>0</v>
      </c>
      <c r="T40" s="11"/>
      <c r="U40" s="3">
        <f t="shared" si="69"/>
        <v>0</v>
      </c>
      <c r="V40" s="3" t="s">
        <v>12</v>
      </c>
      <c r="W40" s="3">
        <f>Results!$O$11</f>
        <v>3</v>
      </c>
      <c r="X40" s="11">
        <v>3</v>
      </c>
      <c r="Y40" s="3">
        <f t="shared" si="70"/>
        <v>9</v>
      </c>
      <c r="Z40" s="3" t="s">
        <v>105</v>
      </c>
      <c r="AA40" s="3">
        <f>Results!$O$16</f>
        <v>4</v>
      </c>
      <c r="AB40" s="11">
        <v>2</v>
      </c>
      <c r="AC40" s="3">
        <f t="shared" si="71"/>
        <v>8</v>
      </c>
      <c r="AD40" s="3" t="s">
        <v>107</v>
      </c>
      <c r="AE40" s="3">
        <f>Results!$O$21</f>
        <v>-3</v>
      </c>
      <c r="AF40" s="11">
        <v>2</v>
      </c>
      <c r="AG40" s="18">
        <f>AE40*AF40</f>
        <v>-6</v>
      </c>
      <c r="AI40" s="3" t="s">
        <v>102</v>
      </c>
      <c r="AJ40" s="3">
        <f>Results!$O$6</f>
        <v>0</v>
      </c>
      <c r="AK40" s="11">
        <v>2</v>
      </c>
      <c r="AL40" s="3">
        <f t="shared" si="72"/>
        <v>0</v>
      </c>
      <c r="AM40" s="3" t="s">
        <v>12</v>
      </c>
      <c r="AN40" s="3">
        <f>Results!$O$11</f>
        <v>3</v>
      </c>
      <c r="AO40" s="11">
        <v>3</v>
      </c>
      <c r="AP40" s="3">
        <f t="shared" si="73"/>
        <v>9</v>
      </c>
      <c r="AQ40" s="3" t="s">
        <v>105</v>
      </c>
      <c r="AR40" s="3">
        <f>Results!$O$16</f>
        <v>4</v>
      </c>
      <c r="AS40" s="11">
        <v>1</v>
      </c>
      <c r="AT40" s="3">
        <f t="shared" si="74"/>
        <v>4</v>
      </c>
      <c r="AU40" s="3" t="s">
        <v>107</v>
      </c>
      <c r="AV40" s="3">
        <f>Results!$O$21</f>
        <v>-3</v>
      </c>
      <c r="AW40" s="11">
        <v>1</v>
      </c>
      <c r="AX40" s="18">
        <f>AV40*AW40</f>
        <v>-3</v>
      </c>
    </row>
    <row r="41" spans="1:50" ht="13.5" customHeight="1" x14ac:dyDescent="0.2">
      <c r="A41" s="14" t="s">
        <v>14</v>
      </c>
      <c r="B41" s="15" t="s">
        <v>51</v>
      </c>
      <c r="C41" s="16" t="s">
        <v>21</v>
      </c>
      <c r="D41" s="15" t="s">
        <v>49</v>
      </c>
      <c r="E41" s="15" t="s">
        <v>15</v>
      </c>
      <c r="F41" s="15" t="s">
        <v>51</v>
      </c>
      <c r="G41" s="16" t="s">
        <v>21</v>
      </c>
      <c r="H41" s="15" t="s">
        <v>49</v>
      </c>
      <c r="I41" s="15" t="s">
        <v>78</v>
      </c>
      <c r="J41" s="15" t="s">
        <v>51</v>
      </c>
      <c r="K41" s="16" t="s">
        <v>21</v>
      </c>
      <c r="L41" s="15" t="s">
        <v>49</v>
      </c>
      <c r="M41" s="15" t="s">
        <v>79</v>
      </c>
      <c r="N41" s="15" t="s">
        <v>51</v>
      </c>
      <c r="O41" s="16" t="s">
        <v>21</v>
      </c>
      <c r="P41" s="15" t="s">
        <v>49</v>
      </c>
      <c r="R41" s="14" t="s">
        <v>14</v>
      </c>
      <c r="S41" s="15" t="s">
        <v>51</v>
      </c>
      <c r="T41" s="16" t="s">
        <v>21</v>
      </c>
      <c r="U41" s="15" t="s">
        <v>49</v>
      </c>
      <c r="V41" s="15" t="s">
        <v>15</v>
      </c>
      <c r="W41" s="15" t="s">
        <v>51</v>
      </c>
      <c r="X41" s="16" t="s">
        <v>21</v>
      </c>
      <c r="Y41" s="15" t="s">
        <v>49</v>
      </c>
      <c r="Z41" s="15" t="s">
        <v>78</v>
      </c>
      <c r="AA41" s="15" t="s">
        <v>51</v>
      </c>
      <c r="AB41" s="16" t="s">
        <v>21</v>
      </c>
      <c r="AC41" s="15" t="s">
        <v>49</v>
      </c>
      <c r="AD41" s="15" t="s">
        <v>79</v>
      </c>
      <c r="AE41" s="15" t="s">
        <v>51</v>
      </c>
      <c r="AF41" s="16" t="s">
        <v>21</v>
      </c>
      <c r="AG41" s="15" t="s">
        <v>49</v>
      </c>
      <c r="AI41" s="14" t="s">
        <v>14</v>
      </c>
      <c r="AJ41" s="15" t="s">
        <v>51</v>
      </c>
      <c r="AK41" s="16" t="s">
        <v>21</v>
      </c>
      <c r="AL41" s="15" t="s">
        <v>49</v>
      </c>
      <c r="AM41" s="15" t="s">
        <v>15</v>
      </c>
      <c r="AN41" s="15" t="s">
        <v>51</v>
      </c>
      <c r="AO41" s="16" t="s">
        <v>21</v>
      </c>
      <c r="AP41" s="15" t="s">
        <v>49</v>
      </c>
      <c r="AQ41" s="15" t="s">
        <v>78</v>
      </c>
      <c r="AR41" s="15" t="s">
        <v>51</v>
      </c>
      <c r="AS41" s="16" t="s">
        <v>21</v>
      </c>
      <c r="AT41" s="15" t="s">
        <v>49</v>
      </c>
      <c r="AU41" s="15" t="s">
        <v>79</v>
      </c>
      <c r="AV41" s="15" t="s">
        <v>51</v>
      </c>
      <c r="AW41" s="16" t="s">
        <v>21</v>
      </c>
      <c r="AX41" s="15" t="s">
        <v>49</v>
      </c>
    </row>
    <row r="42" spans="1:50" ht="13.5" customHeight="1" x14ac:dyDescent="0.2">
      <c r="A42" s="3" t="s">
        <v>11</v>
      </c>
      <c r="B42" s="3">
        <f>Results!$O$23</f>
        <v>18</v>
      </c>
      <c r="C42" s="11">
        <v>5</v>
      </c>
      <c r="D42" s="3">
        <f t="shared" ref="D42:D45" si="75">B42*C42</f>
        <v>90</v>
      </c>
      <c r="E42" s="3" t="s">
        <v>57</v>
      </c>
      <c r="F42" s="3">
        <f>Results!$O$28</f>
        <v>2</v>
      </c>
      <c r="G42" s="11">
        <v>3</v>
      </c>
      <c r="H42" s="3">
        <f t="shared" ref="H42:H45" si="76">F42*G42</f>
        <v>6</v>
      </c>
      <c r="I42" s="3" t="s">
        <v>18</v>
      </c>
      <c r="J42" s="3">
        <f>Results!$O$33</f>
        <v>2</v>
      </c>
      <c r="K42" s="11">
        <v>3</v>
      </c>
      <c r="L42" s="3">
        <f t="shared" ref="L42:L45" si="77">J42*K42</f>
        <v>6</v>
      </c>
      <c r="M42" s="3" t="s">
        <v>17</v>
      </c>
      <c r="N42" s="3">
        <f>Results!$O$38</f>
        <v>2</v>
      </c>
      <c r="O42" s="11">
        <v>3</v>
      </c>
      <c r="P42" s="3">
        <f t="shared" ref="P42:P45" si="78">N42*O42</f>
        <v>6</v>
      </c>
      <c r="R42" s="3" t="s">
        <v>11</v>
      </c>
      <c r="S42" s="3">
        <f>Results!$O$23</f>
        <v>18</v>
      </c>
      <c r="T42" s="11">
        <v>3</v>
      </c>
      <c r="U42" s="3">
        <f t="shared" ref="U42:U45" si="79">S42*T42</f>
        <v>54</v>
      </c>
      <c r="V42" s="3" t="s">
        <v>57</v>
      </c>
      <c r="W42" s="3">
        <f>Results!$O$28</f>
        <v>2</v>
      </c>
      <c r="X42" s="11">
        <v>2</v>
      </c>
      <c r="Y42" s="3">
        <f t="shared" ref="Y42:Y45" si="80">W42*X42</f>
        <v>4</v>
      </c>
      <c r="Z42" s="3" t="s">
        <v>18</v>
      </c>
      <c r="AA42" s="3">
        <f>Results!$O$33</f>
        <v>2</v>
      </c>
      <c r="AB42" s="11">
        <v>3</v>
      </c>
      <c r="AC42" s="3">
        <f t="shared" ref="AC42:AC45" si="81">AA42*AB42</f>
        <v>6</v>
      </c>
      <c r="AD42" s="3" t="s">
        <v>17</v>
      </c>
      <c r="AE42" s="3">
        <f>Results!$O$38</f>
        <v>2</v>
      </c>
      <c r="AF42" s="11">
        <v>3</v>
      </c>
      <c r="AG42" s="3">
        <f t="shared" ref="AG42:AG45" si="82">AE42*AF42</f>
        <v>6</v>
      </c>
      <c r="AI42" s="3" t="s">
        <v>11</v>
      </c>
      <c r="AJ42" s="3">
        <f>Results!$O$23</f>
        <v>18</v>
      </c>
      <c r="AK42" s="11">
        <v>3</v>
      </c>
      <c r="AL42" s="3">
        <f t="shared" ref="AL42:AL45" si="83">AJ42*AK42</f>
        <v>54</v>
      </c>
      <c r="AM42" s="3" t="s">
        <v>57</v>
      </c>
      <c r="AN42" s="3">
        <f>Results!$O$28</f>
        <v>2</v>
      </c>
      <c r="AO42" s="11">
        <v>3</v>
      </c>
      <c r="AP42" s="3">
        <f t="shared" ref="AP42:AP45" si="84">AN42*AO42</f>
        <v>6</v>
      </c>
      <c r="AQ42" s="3" t="s">
        <v>18</v>
      </c>
      <c r="AR42" s="3">
        <f>Results!$O$33</f>
        <v>2</v>
      </c>
      <c r="AS42" s="11">
        <v>3</v>
      </c>
      <c r="AT42" s="3">
        <f t="shared" ref="AT42:AT45" si="85">AR42*AS42</f>
        <v>6</v>
      </c>
      <c r="AU42" s="3" t="s">
        <v>17</v>
      </c>
      <c r="AV42" s="3">
        <f>Results!$O$38</f>
        <v>2</v>
      </c>
      <c r="AW42" s="11">
        <v>3</v>
      </c>
      <c r="AX42" s="3">
        <f t="shared" ref="AX42:AX45" si="86">AV42*AW42</f>
        <v>6</v>
      </c>
    </row>
    <row r="43" spans="1:50" ht="13.5" customHeight="1" x14ac:dyDescent="0.2">
      <c r="A43" s="3" t="s">
        <v>108</v>
      </c>
      <c r="B43" s="3">
        <f>Results!$O$24</f>
        <v>-5</v>
      </c>
      <c r="C43" s="11">
        <v>1</v>
      </c>
      <c r="D43" s="3">
        <f t="shared" si="75"/>
        <v>-5</v>
      </c>
      <c r="E43" s="3" t="s">
        <v>75</v>
      </c>
      <c r="F43" s="3">
        <f>Results!$O$29</f>
        <v>5</v>
      </c>
      <c r="G43" s="11">
        <v>2</v>
      </c>
      <c r="H43" s="3">
        <f t="shared" si="76"/>
        <v>10</v>
      </c>
      <c r="I43" s="3" t="s">
        <v>111</v>
      </c>
      <c r="J43" s="3">
        <f>Results!$O$34</f>
        <v>2</v>
      </c>
      <c r="K43" s="11">
        <v>2</v>
      </c>
      <c r="L43" s="3">
        <f t="shared" si="77"/>
        <v>4</v>
      </c>
      <c r="M43" s="3" t="s">
        <v>113</v>
      </c>
      <c r="N43" s="3">
        <f>Results!$O$39</f>
        <v>2</v>
      </c>
      <c r="O43" s="11"/>
      <c r="P43" s="3">
        <f t="shared" si="78"/>
        <v>0</v>
      </c>
      <c r="R43" s="3" t="s">
        <v>108</v>
      </c>
      <c r="S43" s="3">
        <f>Results!$O$24</f>
        <v>-5</v>
      </c>
      <c r="T43" s="11"/>
      <c r="U43" s="3">
        <f t="shared" si="79"/>
        <v>0</v>
      </c>
      <c r="V43" s="3" t="s">
        <v>75</v>
      </c>
      <c r="W43" s="3">
        <f>Results!$O$29</f>
        <v>5</v>
      </c>
      <c r="X43" s="11">
        <v>3</v>
      </c>
      <c r="Y43" s="3">
        <f t="shared" si="80"/>
        <v>15</v>
      </c>
      <c r="Z43" s="3" t="s">
        <v>111</v>
      </c>
      <c r="AA43" s="3">
        <f>Results!$O$34</f>
        <v>2</v>
      </c>
      <c r="AB43" s="11">
        <v>2</v>
      </c>
      <c r="AC43" s="3">
        <f t="shared" si="81"/>
        <v>4</v>
      </c>
      <c r="AD43" s="3" t="s">
        <v>113</v>
      </c>
      <c r="AE43" s="3">
        <f>Results!$O$39</f>
        <v>2</v>
      </c>
      <c r="AF43" s="11"/>
      <c r="AG43" s="3">
        <f t="shared" si="82"/>
        <v>0</v>
      </c>
      <c r="AI43" s="3" t="s">
        <v>108</v>
      </c>
      <c r="AJ43" s="3">
        <f>Results!$O$24</f>
        <v>-5</v>
      </c>
      <c r="AK43" s="11"/>
      <c r="AL43" s="3">
        <f t="shared" si="83"/>
        <v>0</v>
      </c>
      <c r="AM43" s="3" t="s">
        <v>75</v>
      </c>
      <c r="AN43" s="3">
        <f>Results!$O$29</f>
        <v>5</v>
      </c>
      <c r="AO43" s="11">
        <v>2</v>
      </c>
      <c r="AP43" s="3">
        <f t="shared" si="84"/>
        <v>10</v>
      </c>
      <c r="AQ43" s="3" t="s">
        <v>111</v>
      </c>
      <c r="AR43" s="3">
        <f>Results!$O$34</f>
        <v>2</v>
      </c>
      <c r="AS43" s="11">
        <v>2</v>
      </c>
      <c r="AT43" s="3">
        <f t="shared" si="85"/>
        <v>4</v>
      </c>
      <c r="AU43" s="3" t="s">
        <v>113</v>
      </c>
      <c r="AV43" s="3">
        <f>Results!$O$39</f>
        <v>2</v>
      </c>
      <c r="AW43" s="11"/>
      <c r="AX43" s="3">
        <f t="shared" si="86"/>
        <v>0</v>
      </c>
    </row>
    <row r="44" spans="1:50" ht="13.5" customHeight="1" x14ac:dyDescent="0.2">
      <c r="A44" s="3" t="s">
        <v>109</v>
      </c>
      <c r="B44" s="3">
        <f>Results!$O$25</f>
        <v>4</v>
      </c>
      <c r="C44" s="11">
        <v>2</v>
      </c>
      <c r="D44" s="3">
        <f t="shared" si="75"/>
        <v>8</v>
      </c>
      <c r="E44" s="3" t="s">
        <v>110</v>
      </c>
      <c r="F44" s="3">
        <f>Results!$O$30</f>
        <v>14</v>
      </c>
      <c r="G44" s="11">
        <v>1</v>
      </c>
      <c r="H44" s="3">
        <f t="shared" si="76"/>
        <v>14</v>
      </c>
      <c r="I44" s="3" t="s">
        <v>67</v>
      </c>
      <c r="J44" s="3">
        <f>Results!$O$35</f>
        <v>4</v>
      </c>
      <c r="K44" s="11">
        <v>1</v>
      </c>
      <c r="L44" s="3">
        <f t="shared" si="77"/>
        <v>4</v>
      </c>
      <c r="M44" s="3" t="s">
        <v>70</v>
      </c>
      <c r="N44" s="3">
        <f>Results!$O$40</f>
        <v>3</v>
      </c>
      <c r="O44" s="11">
        <v>1</v>
      </c>
      <c r="P44" s="3">
        <f t="shared" si="78"/>
        <v>3</v>
      </c>
      <c r="R44" s="3" t="s">
        <v>109</v>
      </c>
      <c r="S44" s="3">
        <f>Results!$O$25</f>
        <v>4</v>
      </c>
      <c r="T44" s="11">
        <v>1</v>
      </c>
      <c r="U44" s="3">
        <f t="shared" si="79"/>
        <v>4</v>
      </c>
      <c r="V44" s="3" t="s">
        <v>110</v>
      </c>
      <c r="W44" s="3">
        <f>Results!$O$30</f>
        <v>14</v>
      </c>
      <c r="X44" s="11">
        <v>1</v>
      </c>
      <c r="Y44" s="3">
        <f t="shared" si="80"/>
        <v>14</v>
      </c>
      <c r="Z44" s="3" t="s">
        <v>67</v>
      </c>
      <c r="AA44" s="3">
        <f>Results!$O$35</f>
        <v>4</v>
      </c>
      <c r="AB44" s="11">
        <v>1</v>
      </c>
      <c r="AC44" s="3">
        <f t="shared" si="81"/>
        <v>4</v>
      </c>
      <c r="AD44" s="3" t="s">
        <v>70</v>
      </c>
      <c r="AE44" s="3">
        <f>Results!$O$40</f>
        <v>3</v>
      </c>
      <c r="AF44" s="11">
        <v>1</v>
      </c>
      <c r="AG44" s="3">
        <f t="shared" si="82"/>
        <v>3</v>
      </c>
      <c r="AI44" s="3" t="s">
        <v>109</v>
      </c>
      <c r="AJ44" s="3">
        <f>Results!$O$25</f>
        <v>4</v>
      </c>
      <c r="AK44" s="11">
        <v>2</v>
      </c>
      <c r="AL44" s="3">
        <f t="shared" si="83"/>
        <v>8</v>
      </c>
      <c r="AM44" s="3" t="s">
        <v>110</v>
      </c>
      <c r="AN44" s="3">
        <f>Results!$O$30</f>
        <v>14</v>
      </c>
      <c r="AO44" s="11">
        <v>1</v>
      </c>
      <c r="AP44" s="3">
        <f t="shared" si="84"/>
        <v>14</v>
      </c>
      <c r="AQ44" s="3" t="s">
        <v>67</v>
      </c>
      <c r="AR44" s="3">
        <f>Results!$O$35</f>
        <v>4</v>
      </c>
      <c r="AS44" s="11"/>
      <c r="AT44" s="3">
        <f t="shared" si="85"/>
        <v>0</v>
      </c>
      <c r="AU44" s="3" t="s">
        <v>70</v>
      </c>
      <c r="AV44" s="3">
        <f>Results!$O$40</f>
        <v>3</v>
      </c>
      <c r="AW44" s="11">
        <v>1</v>
      </c>
      <c r="AX44" s="3">
        <f t="shared" si="86"/>
        <v>3</v>
      </c>
    </row>
    <row r="45" spans="1:50" ht="13.5" customHeight="1" x14ac:dyDescent="0.2">
      <c r="A45" s="24" t="s">
        <v>91</v>
      </c>
      <c r="B45" s="24">
        <f>Results!$O$26</f>
        <v>-2</v>
      </c>
      <c r="C45" s="25">
        <v>3</v>
      </c>
      <c r="D45" s="24">
        <f t="shared" si="75"/>
        <v>-6</v>
      </c>
      <c r="E45" s="24" t="s">
        <v>73</v>
      </c>
      <c r="F45" s="24">
        <f>Results!$O$31</f>
        <v>-4</v>
      </c>
      <c r="G45" s="25"/>
      <c r="H45" s="24">
        <f t="shared" si="76"/>
        <v>0</v>
      </c>
      <c r="I45" s="24" t="s">
        <v>112</v>
      </c>
      <c r="J45" s="24">
        <f>Results!$O$36</f>
        <v>5</v>
      </c>
      <c r="K45" s="25"/>
      <c r="L45" s="24">
        <f t="shared" si="77"/>
        <v>0</v>
      </c>
      <c r="M45" s="24" t="s">
        <v>84</v>
      </c>
      <c r="N45" s="24">
        <f>Results!$O$41</f>
        <v>4</v>
      </c>
      <c r="O45" s="25">
        <v>2</v>
      </c>
      <c r="P45" s="24">
        <f t="shared" si="78"/>
        <v>8</v>
      </c>
      <c r="R45" s="24" t="s">
        <v>91</v>
      </c>
      <c r="S45" s="24">
        <f>Results!$O$26</f>
        <v>-2</v>
      </c>
      <c r="T45" s="25">
        <v>2</v>
      </c>
      <c r="U45" s="24">
        <f t="shared" si="79"/>
        <v>-4</v>
      </c>
      <c r="V45" s="24" t="s">
        <v>73</v>
      </c>
      <c r="W45" s="24">
        <f>Results!$O$31</f>
        <v>-4</v>
      </c>
      <c r="X45" s="25"/>
      <c r="Y45" s="24">
        <f t="shared" si="80"/>
        <v>0</v>
      </c>
      <c r="Z45" s="24" t="s">
        <v>112</v>
      </c>
      <c r="AA45" s="24">
        <f>Results!$O$36</f>
        <v>5</v>
      </c>
      <c r="AB45" s="25"/>
      <c r="AC45" s="24">
        <f t="shared" si="81"/>
        <v>0</v>
      </c>
      <c r="AD45" s="24" t="s">
        <v>84</v>
      </c>
      <c r="AE45" s="24">
        <f>Results!$O$41</f>
        <v>4</v>
      </c>
      <c r="AF45" s="25">
        <v>2</v>
      </c>
      <c r="AG45" s="24">
        <f t="shared" si="82"/>
        <v>8</v>
      </c>
      <c r="AI45" s="24" t="s">
        <v>91</v>
      </c>
      <c r="AJ45" s="24">
        <f>Results!$O$26</f>
        <v>-2</v>
      </c>
      <c r="AK45" s="25">
        <v>1</v>
      </c>
      <c r="AL45" s="24">
        <f t="shared" si="83"/>
        <v>-2</v>
      </c>
      <c r="AM45" s="24" t="s">
        <v>73</v>
      </c>
      <c r="AN45" s="24">
        <f>Results!$O$31</f>
        <v>-4</v>
      </c>
      <c r="AO45" s="25"/>
      <c r="AP45" s="24">
        <f t="shared" si="84"/>
        <v>0</v>
      </c>
      <c r="AQ45" s="24" t="s">
        <v>112</v>
      </c>
      <c r="AR45" s="24">
        <f>Results!$O$36</f>
        <v>5</v>
      </c>
      <c r="AS45" s="25">
        <v>1</v>
      </c>
      <c r="AT45" s="24">
        <f t="shared" si="85"/>
        <v>5</v>
      </c>
      <c r="AU45" s="24" t="s">
        <v>84</v>
      </c>
      <c r="AV45" s="24">
        <f>Results!$O$41</f>
        <v>4</v>
      </c>
      <c r="AW45" s="25">
        <v>2</v>
      </c>
      <c r="AX45" s="24">
        <f t="shared" si="86"/>
        <v>8</v>
      </c>
    </row>
    <row r="46" spans="1:50" ht="13.5" customHeight="1" x14ac:dyDescent="0.2">
      <c r="A46" s="14" t="s">
        <v>97</v>
      </c>
      <c r="B46" s="15" t="s">
        <v>51</v>
      </c>
      <c r="C46" s="16" t="s">
        <v>21</v>
      </c>
      <c r="D46" s="15" t="s">
        <v>49</v>
      </c>
      <c r="E46" s="15" t="s">
        <v>98</v>
      </c>
      <c r="F46" s="15" t="s">
        <v>51</v>
      </c>
      <c r="G46" s="16" t="s">
        <v>21</v>
      </c>
      <c r="H46" s="15" t="s">
        <v>49</v>
      </c>
      <c r="I46" s="15" t="s">
        <v>99</v>
      </c>
      <c r="J46" s="15" t="s">
        <v>51</v>
      </c>
      <c r="K46" s="16" t="s">
        <v>21</v>
      </c>
      <c r="L46" s="15" t="s">
        <v>49</v>
      </c>
      <c r="M46" s="15" t="s">
        <v>100</v>
      </c>
      <c r="N46" s="15" t="s">
        <v>51</v>
      </c>
      <c r="O46" s="16" t="s">
        <v>21</v>
      </c>
      <c r="P46" s="15" t="s">
        <v>49</v>
      </c>
      <c r="R46" s="14" t="s">
        <v>97</v>
      </c>
      <c r="S46" s="15" t="s">
        <v>51</v>
      </c>
      <c r="T46" s="16" t="s">
        <v>21</v>
      </c>
      <c r="U46" s="15" t="s">
        <v>49</v>
      </c>
      <c r="V46" s="15" t="s">
        <v>98</v>
      </c>
      <c r="W46" s="15" t="s">
        <v>51</v>
      </c>
      <c r="X46" s="16" t="s">
        <v>21</v>
      </c>
      <c r="Y46" s="15" t="s">
        <v>49</v>
      </c>
      <c r="Z46" s="15" t="s">
        <v>99</v>
      </c>
      <c r="AA46" s="15" t="s">
        <v>51</v>
      </c>
      <c r="AB46" s="16" t="s">
        <v>21</v>
      </c>
      <c r="AC46" s="15" t="s">
        <v>49</v>
      </c>
      <c r="AD46" s="15" t="s">
        <v>100</v>
      </c>
      <c r="AE46" s="15" t="s">
        <v>51</v>
      </c>
      <c r="AF46" s="16" t="s">
        <v>21</v>
      </c>
      <c r="AG46" s="15" t="s">
        <v>49</v>
      </c>
      <c r="AI46" s="14" t="s">
        <v>97</v>
      </c>
      <c r="AJ46" s="15" t="s">
        <v>51</v>
      </c>
      <c r="AK46" s="16" t="s">
        <v>21</v>
      </c>
      <c r="AL46" s="15" t="s">
        <v>49</v>
      </c>
      <c r="AM46" s="15" t="s">
        <v>98</v>
      </c>
      <c r="AN46" s="15" t="s">
        <v>51</v>
      </c>
      <c r="AO46" s="16" t="s">
        <v>21</v>
      </c>
      <c r="AP46" s="15" t="s">
        <v>49</v>
      </c>
      <c r="AQ46" s="15" t="s">
        <v>99</v>
      </c>
      <c r="AR46" s="15" t="s">
        <v>51</v>
      </c>
      <c r="AS46" s="16" t="s">
        <v>21</v>
      </c>
      <c r="AT46" s="15" t="s">
        <v>49</v>
      </c>
      <c r="AU46" s="15" t="s">
        <v>100</v>
      </c>
      <c r="AV46" s="15" t="s">
        <v>51</v>
      </c>
      <c r="AW46" s="16" t="s">
        <v>21</v>
      </c>
      <c r="AX46" s="15" t="s">
        <v>49</v>
      </c>
    </row>
    <row r="47" spans="1:50" ht="13.5" customHeight="1" x14ac:dyDescent="0.2">
      <c r="A47" s="3" t="s">
        <v>8</v>
      </c>
      <c r="B47" s="3">
        <f>Results!$O$43</f>
        <v>10</v>
      </c>
      <c r="C47" s="11">
        <v>3</v>
      </c>
      <c r="D47" s="3">
        <f t="shared" ref="D47:D50" si="87">B47*C47</f>
        <v>30</v>
      </c>
      <c r="E47" s="3" t="s">
        <v>69</v>
      </c>
      <c r="F47" s="3">
        <f>Results!$O$48</f>
        <v>11</v>
      </c>
      <c r="G47" s="11">
        <v>3</v>
      </c>
      <c r="H47" s="3">
        <f t="shared" ref="H47:H50" si="88">F47*G47</f>
        <v>33</v>
      </c>
      <c r="I47" s="3" t="s">
        <v>19</v>
      </c>
      <c r="J47" s="3">
        <f>Results!$O$53</f>
        <v>1</v>
      </c>
      <c r="K47" s="11">
        <v>3</v>
      </c>
      <c r="L47" s="3">
        <f t="shared" ref="L47:L50" si="89">J47*K47</f>
        <v>3</v>
      </c>
      <c r="M47" s="3" t="s">
        <v>10</v>
      </c>
      <c r="N47" s="3">
        <f>Results!$O$58</f>
        <v>11</v>
      </c>
      <c r="O47" s="11">
        <v>3</v>
      </c>
      <c r="P47" s="3">
        <f t="shared" ref="P47:P50" si="90">N47*O47</f>
        <v>33</v>
      </c>
      <c r="R47" s="3" t="s">
        <v>8</v>
      </c>
      <c r="S47" s="3">
        <f>Results!$O$43</f>
        <v>10</v>
      </c>
      <c r="T47" s="11">
        <v>5</v>
      </c>
      <c r="U47" s="3">
        <f t="shared" ref="U47:U50" si="91">S47*T47</f>
        <v>50</v>
      </c>
      <c r="V47" s="3" t="s">
        <v>69</v>
      </c>
      <c r="W47" s="3">
        <f>Results!$O$48</f>
        <v>11</v>
      </c>
      <c r="X47" s="11">
        <v>3</v>
      </c>
      <c r="Y47" s="3">
        <f t="shared" ref="Y47:Y50" si="92">W47*X47</f>
        <v>33</v>
      </c>
      <c r="Z47" s="3" t="s">
        <v>19</v>
      </c>
      <c r="AA47" s="3">
        <f>Results!$O$53</f>
        <v>1</v>
      </c>
      <c r="AB47" s="11">
        <v>3</v>
      </c>
      <c r="AC47" s="3">
        <f t="shared" ref="AC47:AC50" si="93">AA47*AB47</f>
        <v>3</v>
      </c>
      <c r="AD47" s="3" t="s">
        <v>10</v>
      </c>
      <c r="AE47" s="3">
        <f>Results!$O$58</f>
        <v>11</v>
      </c>
      <c r="AF47" s="11">
        <v>3</v>
      </c>
      <c r="AG47" s="3">
        <f t="shared" ref="AG47:AG50" si="94">AE47*AF47</f>
        <v>33</v>
      </c>
      <c r="AI47" s="3" t="s">
        <v>8</v>
      </c>
      <c r="AJ47" s="3">
        <f>Results!$O$43</f>
        <v>10</v>
      </c>
      <c r="AK47" s="11">
        <v>3</v>
      </c>
      <c r="AL47" s="3">
        <f t="shared" ref="AL47:AL50" si="95">AJ47*AK47</f>
        <v>30</v>
      </c>
      <c r="AM47" s="3" t="s">
        <v>69</v>
      </c>
      <c r="AN47" s="3">
        <f>Results!$O$48</f>
        <v>11</v>
      </c>
      <c r="AO47" s="11">
        <v>3</v>
      </c>
      <c r="AP47" s="3">
        <f t="shared" ref="AP47:AP50" si="96">AN47*AO47</f>
        <v>33</v>
      </c>
      <c r="AQ47" s="3" t="s">
        <v>19</v>
      </c>
      <c r="AR47" s="3">
        <f>Results!$O$53</f>
        <v>1</v>
      </c>
      <c r="AS47" s="11">
        <v>5</v>
      </c>
      <c r="AT47" s="3">
        <f t="shared" ref="AT47:AT50" si="97">AR47*AS47</f>
        <v>5</v>
      </c>
      <c r="AU47" s="3" t="s">
        <v>10</v>
      </c>
      <c r="AV47" s="3">
        <f>Results!$O$58</f>
        <v>11</v>
      </c>
      <c r="AW47" s="11">
        <v>3</v>
      </c>
      <c r="AX47" s="3">
        <f t="shared" ref="AX47:AX50" si="98">AV47*AW47</f>
        <v>33</v>
      </c>
    </row>
    <row r="48" spans="1:50" ht="13.5" customHeight="1" x14ac:dyDescent="0.2">
      <c r="A48" s="3" t="s">
        <v>66</v>
      </c>
      <c r="B48" s="3">
        <f>Results!$O$44</f>
        <v>-1</v>
      </c>
      <c r="C48" s="11">
        <v>1</v>
      </c>
      <c r="D48" s="3">
        <f t="shared" si="87"/>
        <v>-1</v>
      </c>
      <c r="E48" s="3" t="s">
        <v>116</v>
      </c>
      <c r="F48" s="3">
        <f>Results!$O$49</f>
        <v>-3</v>
      </c>
      <c r="G48" s="11">
        <v>1</v>
      </c>
      <c r="H48" s="3">
        <f t="shared" si="88"/>
        <v>-3</v>
      </c>
      <c r="I48" s="3" t="s">
        <v>119</v>
      </c>
      <c r="J48" s="3">
        <f>Results!$O$54</f>
        <v>3</v>
      </c>
      <c r="K48" s="11"/>
      <c r="L48" s="3">
        <f t="shared" si="89"/>
        <v>0</v>
      </c>
      <c r="M48" s="3" t="s">
        <v>16</v>
      </c>
      <c r="N48" s="3">
        <f>Results!$O$59</f>
        <v>0</v>
      </c>
      <c r="O48" s="11">
        <v>2</v>
      </c>
      <c r="P48" s="3">
        <f t="shared" si="90"/>
        <v>0</v>
      </c>
      <c r="R48" s="3" t="s">
        <v>66</v>
      </c>
      <c r="S48" s="3">
        <f>Results!$O$44</f>
        <v>-1</v>
      </c>
      <c r="T48" s="11">
        <v>3</v>
      </c>
      <c r="U48" s="3">
        <f t="shared" si="91"/>
        <v>-3</v>
      </c>
      <c r="V48" s="3" t="s">
        <v>116</v>
      </c>
      <c r="W48" s="3">
        <f>Results!$O$49</f>
        <v>-3</v>
      </c>
      <c r="X48" s="11">
        <v>1</v>
      </c>
      <c r="Y48" s="3">
        <f t="shared" si="92"/>
        <v>-3</v>
      </c>
      <c r="Z48" s="3" t="s">
        <v>119</v>
      </c>
      <c r="AA48" s="3">
        <f>Results!$O$54</f>
        <v>3</v>
      </c>
      <c r="AB48" s="11"/>
      <c r="AC48" s="3">
        <f t="shared" si="93"/>
        <v>0</v>
      </c>
      <c r="AD48" s="3" t="s">
        <v>16</v>
      </c>
      <c r="AE48" s="3">
        <f>Results!$O$59</f>
        <v>0</v>
      </c>
      <c r="AF48" s="11">
        <v>2</v>
      </c>
      <c r="AG48" s="3">
        <f t="shared" si="94"/>
        <v>0</v>
      </c>
      <c r="AI48" s="3" t="s">
        <v>66</v>
      </c>
      <c r="AJ48" s="3">
        <f>Results!$O$44</f>
        <v>-1</v>
      </c>
      <c r="AK48" s="11">
        <v>1</v>
      </c>
      <c r="AL48" s="3">
        <f t="shared" si="95"/>
        <v>-1</v>
      </c>
      <c r="AM48" s="3" t="s">
        <v>116</v>
      </c>
      <c r="AN48" s="3">
        <f>Results!$O$49</f>
        <v>-3</v>
      </c>
      <c r="AO48" s="11">
        <v>1</v>
      </c>
      <c r="AP48" s="3">
        <f t="shared" si="96"/>
        <v>-3</v>
      </c>
      <c r="AQ48" s="3" t="s">
        <v>119</v>
      </c>
      <c r="AR48" s="3">
        <f>Results!$O$54</f>
        <v>3</v>
      </c>
      <c r="AS48" s="11">
        <v>2</v>
      </c>
      <c r="AT48" s="3">
        <f t="shared" si="97"/>
        <v>6</v>
      </c>
      <c r="AU48" s="3" t="s">
        <v>16</v>
      </c>
      <c r="AV48" s="3">
        <f>Results!$O$59</f>
        <v>0</v>
      </c>
      <c r="AW48" s="11">
        <v>2</v>
      </c>
      <c r="AX48" s="3">
        <f t="shared" si="98"/>
        <v>0</v>
      </c>
    </row>
    <row r="49" spans="1:50" ht="13.5" customHeight="1" x14ac:dyDescent="0.2">
      <c r="A49" s="3" t="s">
        <v>114</v>
      </c>
      <c r="B49" s="3">
        <f>Results!$O$45</f>
        <v>-3</v>
      </c>
      <c r="C49" s="11"/>
      <c r="D49" s="3">
        <f t="shared" si="87"/>
        <v>0</v>
      </c>
      <c r="E49" s="3" t="s">
        <v>117</v>
      </c>
      <c r="F49" s="3">
        <f>Results!$O$50</f>
        <v>9</v>
      </c>
      <c r="G49" s="11">
        <v>2</v>
      </c>
      <c r="H49" s="3">
        <f t="shared" si="88"/>
        <v>18</v>
      </c>
      <c r="I49" s="3" t="s">
        <v>120</v>
      </c>
      <c r="J49" s="3">
        <f>Results!$O$55</f>
        <v>-2</v>
      </c>
      <c r="K49" s="11">
        <v>1</v>
      </c>
      <c r="L49" s="3">
        <f t="shared" si="89"/>
        <v>-2</v>
      </c>
      <c r="M49" s="3" t="s">
        <v>83</v>
      </c>
      <c r="N49" s="3">
        <f>Results!$O$60</f>
        <v>6</v>
      </c>
      <c r="O49" s="11">
        <v>1</v>
      </c>
      <c r="P49" s="3">
        <f t="shared" si="90"/>
        <v>6</v>
      </c>
      <c r="R49" s="3" t="s">
        <v>114</v>
      </c>
      <c r="S49" s="3">
        <f>Results!$O$45</f>
        <v>-3</v>
      </c>
      <c r="T49" s="11">
        <v>1</v>
      </c>
      <c r="U49" s="3">
        <f t="shared" si="91"/>
        <v>-3</v>
      </c>
      <c r="V49" s="3" t="s">
        <v>117</v>
      </c>
      <c r="W49" s="3">
        <f>Results!$O$50</f>
        <v>9</v>
      </c>
      <c r="X49" s="11">
        <v>2</v>
      </c>
      <c r="Y49" s="3">
        <f t="shared" si="92"/>
        <v>18</v>
      </c>
      <c r="Z49" s="3" t="s">
        <v>120</v>
      </c>
      <c r="AA49" s="3">
        <f>Results!$O$55</f>
        <v>-2</v>
      </c>
      <c r="AB49" s="11">
        <v>1</v>
      </c>
      <c r="AC49" s="3">
        <f t="shared" si="93"/>
        <v>-2</v>
      </c>
      <c r="AD49" s="3" t="s">
        <v>83</v>
      </c>
      <c r="AE49" s="3">
        <f>Results!$O$60</f>
        <v>6</v>
      </c>
      <c r="AF49" s="11">
        <v>1</v>
      </c>
      <c r="AG49" s="3">
        <f t="shared" si="94"/>
        <v>6</v>
      </c>
      <c r="AI49" s="3" t="s">
        <v>114</v>
      </c>
      <c r="AJ49" s="3">
        <f>Results!$O$45</f>
        <v>-3</v>
      </c>
      <c r="AK49" s="11"/>
      <c r="AL49" s="3">
        <f t="shared" si="95"/>
        <v>0</v>
      </c>
      <c r="AM49" s="3" t="s">
        <v>117</v>
      </c>
      <c r="AN49" s="3">
        <f>Results!$O$50</f>
        <v>9</v>
      </c>
      <c r="AO49" s="11">
        <v>2</v>
      </c>
      <c r="AP49" s="3">
        <f t="shared" si="96"/>
        <v>18</v>
      </c>
      <c r="AQ49" s="3" t="s">
        <v>120</v>
      </c>
      <c r="AR49" s="3">
        <f>Results!$O$55</f>
        <v>-2</v>
      </c>
      <c r="AS49" s="11">
        <v>1</v>
      </c>
      <c r="AT49" s="3">
        <f t="shared" si="97"/>
        <v>-2</v>
      </c>
      <c r="AU49" s="3" t="s">
        <v>83</v>
      </c>
      <c r="AV49" s="3">
        <f>Results!$O$60</f>
        <v>6</v>
      </c>
      <c r="AW49" s="11">
        <v>1</v>
      </c>
      <c r="AX49" s="3">
        <f t="shared" si="98"/>
        <v>6</v>
      </c>
    </row>
    <row r="50" spans="1:50" ht="13.5" customHeight="1" thickBot="1" x14ac:dyDescent="0.25">
      <c r="A50" s="19" t="s">
        <v>115</v>
      </c>
      <c r="B50" s="19">
        <f>Results!$O$46</f>
        <v>12</v>
      </c>
      <c r="C50" s="20">
        <v>2</v>
      </c>
      <c r="D50" s="19">
        <f t="shared" si="87"/>
        <v>24</v>
      </c>
      <c r="E50" s="19" t="s">
        <v>118</v>
      </c>
      <c r="F50" s="19">
        <f>Results!$O$51</f>
        <v>-1</v>
      </c>
      <c r="G50" s="20"/>
      <c r="H50" s="19">
        <f t="shared" si="88"/>
        <v>0</v>
      </c>
      <c r="I50" s="19" t="s">
        <v>121</v>
      </c>
      <c r="J50" s="19">
        <f>Results!$O$56</f>
        <v>9</v>
      </c>
      <c r="K50" s="20">
        <v>2</v>
      </c>
      <c r="L50" s="19">
        <f t="shared" si="89"/>
        <v>18</v>
      </c>
      <c r="M50" s="19" t="s">
        <v>122</v>
      </c>
      <c r="N50" s="19">
        <f>Results!$O$61</f>
        <v>-3</v>
      </c>
      <c r="O50" s="20"/>
      <c r="P50" s="19">
        <f t="shared" si="90"/>
        <v>0</v>
      </c>
      <c r="R50" s="19" t="s">
        <v>115</v>
      </c>
      <c r="S50" s="19">
        <f>Results!$O$46</f>
        <v>12</v>
      </c>
      <c r="T50" s="20">
        <v>2</v>
      </c>
      <c r="U50" s="19">
        <f t="shared" si="91"/>
        <v>24</v>
      </c>
      <c r="V50" s="19" t="s">
        <v>118</v>
      </c>
      <c r="W50" s="19">
        <f>Results!$O$51</f>
        <v>-1</v>
      </c>
      <c r="X50" s="20"/>
      <c r="Y50" s="19">
        <f t="shared" si="92"/>
        <v>0</v>
      </c>
      <c r="Z50" s="19" t="s">
        <v>121</v>
      </c>
      <c r="AA50" s="19">
        <f>Results!$O$56</f>
        <v>9</v>
      </c>
      <c r="AB50" s="20">
        <v>2</v>
      </c>
      <c r="AC50" s="19">
        <f t="shared" si="93"/>
        <v>18</v>
      </c>
      <c r="AD50" s="19" t="s">
        <v>122</v>
      </c>
      <c r="AE50" s="19">
        <f>Results!$O$61</f>
        <v>-3</v>
      </c>
      <c r="AF50" s="20"/>
      <c r="AG50" s="19">
        <f t="shared" si="94"/>
        <v>0</v>
      </c>
      <c r="AI50" s="19" t="s">
        <v>115</v>
      </c>
      <c r="AJ50" s="19">
        <f>Results!$O$46</f>
        <v>12</v>
      </c>
      <c r="AK50" s="20">
        <v>2</v>
      </c>
      <c r="AL50" s="19">
        <f t="shared" si="95"/>
        <v>24</v>
      </c>
      <c r="AM50" s="19" t="s">
        <v>118</v>
      </c>
      <c r="AN50" s="19">
        <f>Results!$O$51</f>
        <v>-1</v>
      </c>
      <c r="AO50" s="20"/>
      <c r="AP50" s="19">
        <f t="shared" si="96"/>
        <v>0</v>
      </c>
      <c r="AQ50" s="19" t="s">
        <v>121</v>
      </c>
      <c r="AR50" s="19">
        <f>Results!$O$56</f>
        <v>9</v>
      </c>
      <c r="AS50" s="20">
        <v>3</v>
      </c>
      <c r="AT50" s="19">
        <f t="shared" si="97"/>
        <v>27</v>
      </c>
      <c r="AU50" s="19" t="s">
        <v>122</v>
      </c>
      <c r="AV50" s="19">
        <f>Results!$O$61</f>
        <v>-3</v>
      </c>
      <c r="AW50" s="20"/>
      <c r="AX50" s="19">
        <f t="shared" si="98"/>
        <v>0</v>
      </c>
    </row>
    <row r="51" spans="1:50" s="27" customFormat="1" ht="13.5" customHeight="1" thickBot="1" x14ac:dyDescent="0.25">
      <c r="A51" s="28"/>
      <c r="B51" s="28"/>
      <c r="C51" s="29"/>
      <c r="D51" s="28"/>
      <c r="E51" s="28"/>
      <c r="F51" s="28"/>
      <c r="G51" s="29"/>
      <c r="H51" s="28"/>
      <c r="I51" s="28"/>
      <c r="J51" s="28"/>
      <c r="K51" s="29"/>
      <c r="L51" s="28"/>
      <c r="M51" s="28"/>
      <c r="N51" s="28"/>
      <c r="O51" s="29"/>
      <c r="P51" s="28"/>
      <c r="R51" s="28"/>
      <c r="S51" s="28"/>
      <c r="T51" s="29"/>
      <c r="U51" s="28"/>
      <c r="V51" s="28"/>
      <c r="W51" s="28"/>
      <c r="X51" s="29"/>
      <c r="Y51" s="28"/>
      <c r="Z51" s="28"/>
      <c r="AA51" s="28"/>
      <c r="AB51" s="29"/>
      <c r="AC51" s="28"/>
      <c r="AD51" s="28"/>
      <c r="AE51" s="28"/>
      <c r="AF51" s="29"/>
      <c r="AG51" s="28"/>
      <c r="AI51" s="28"/>
      <c r="AJ51" s="28"/>
      <c r="AK51" s="29"/>
      <c r="AL51" s="28"/>
      <c r="AM51" s="28"/>
      <c r="AN51" s="28"/>
      <c r="AO51" s="29"/>
      <c r="AP51" s="28"/>
      <c r="AQ51" s="28"/>
      <c r="AR51" s="28"/>
      <c r="AS51" s="29"/>
      <c r="AT51" s="28"/>
      <c r="AU51" s="28"/>
      <c r="AV51" s="28"/>
      <c r="AW51" s="29"/>
      <c r="AX51" s="28"/>
    </row>
    <row r="52" spans="1:50" ht="13.5" customHeight="1" x14ac:dyDescent="0.2">
      <c r="A52" s="12" t="s">
        <v>0</v>
      </c>
      <c r="B52" s="59" t="s">
        <v>60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13" t="s">
        <v>50</v>
      </c>
      <c r="N52" s="61">
        <f>SUM(D54:D57,D59:D62,H54:H57, H59:H62,L54:L57,L59:L62,P54:P57,P59:P62,D64:D67,H64:H67,L64:L67,P64:P67)</f>
        <v>368</v>
      </c>
      <c r="O52" s="60"/>
      <c r="P52" s="62"/>
      <c r="R52" s="12" t="s">
        <v>0</v>
      </c>
      <c r="S52" s="59" t="s">
        <v>94</v>
      </c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13" t="s">
        <v>50</v>
      </c>
      <c r="AE52" s="61">
        <f>SUM(U54:U57,U59:U62,Y54:Y57, Y59:Y62,AC54:AC57,AC59:AC62,AG54:AG57,AG59:AG62,U64:U67,Y64:Y67,AC64:AC67,AG64:AG67)</f>
        <v>393</v>
      </c>
      <c r="AF52" s="60"/>
      <c r="AG52" s="62"/>
      <c r="AI52" s="12" t="s">
        <v>0</v>
      </c>
      <c r="AJ52" s="59" t="s">
        <v>146</v>
      </c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13" t="s">
        <v>50</v>
      </c>
      <c r="AV52" s="61">
        <f>SUM(AL54:AL57,AL59:AL62,AP54:AP57, AP59:AP62,AT54:AT57,AT59:AT62,AX54:AX57,AX59:AX62,AL64:AL67,AP64:AP67,AT64:AT67,AX64:AX67)</f>
        <v>382</v>
      </c>
      <c r="AW52" s="60"/>
      <c r="AX52" s="62"/>
    </row>
    <row r="53" spans="1:50" ht="13.5" customHeight="1" x14ac:dyDescent="0.2">
      <c r="A53" s="14" t="s">
        <v>3</v>
      </c>
      <c r="B53" s="15" t="s">
        <v>51</v>
      </c>
      <c r="C53" s="16" t="s">
        <v>21</v>
      </c>
      <c r="D53" s="15" t="s">
        <v>49</v>
      </c>
      <c r="E53" s="15" t="s">
        <v>6</v>
      </c>
      <c r="F53" s="15" t="s">
        <v>51</v>
      </c>
      <c r="G53" s="16" t="s">
        <v>21</v>
      </c>
      <c r="H53" s="15" t="s">
        <v>49</v>
      </c>
      <c r="I53" s="15" t="s">
        <v>7</v>
      </c>
      <c r="J53" s="15" t="s">
        <v>51</v>
      </c>
      <c r="K53" s="16" t="s">
        <v>21</v>
      </c>
      <c r="L53" s="15" t="s">
        <v>49</v>
      </c>
      <c r="M53" s="15" t="s">
        <v>13</v>
      </c>
      <c r="N53" s="15" t="s">
        <v>51</v>
      </c>
      <c r="O53" s="16" t="s">
        <v>21</v>
      </c>
      <c r="P53" s="17" t="s">
        <v>49</v>
      </c>
      <c r="R53" s="14" t="s">
        <v>3</v>
      </c>
      <c r="S53" s="15" t="s">
        <v>51</v>
      </c>
      <c r="T53" s="16" t="s">
        <v>21</v>
      </c>
      <c r="U53" s="15" t="s">
        <v>49</v>
      </c>
      <c r="V53" s="15" t="s">
        <v>6</v>
      </c>
      <c r="W53" s="15" t="s">
        <v>51</v>
      </c>
      <c r="X53" s="16" t="s">
        <v>21</v>
      </c>
      <c r="Y53" s="15" t="s">
        <v>49</v>
      </c>
      <c r="Z53" s="15" t="s">
        <v>7</v>
      </c>
      <c r="AA53" s="15" t="s">
        <v>51</v>
      </c>
      <c r="AB53" s="16" t="s">
        <v>21</v>
      </c>
      <c r="AC53" s="15" t="s">
        <v>49</v>
      </c>
      <c r="AD53" s="15" t="s">
        <v>13</v>
      </c>
      <c r="AE53" s="15" t="s">
        <v>51</v>
      </c>
      <c r="AF53" s="16" t="s">
        <v>21</v>
      </c>
      <c r="AG53" s="17" t="s">
        <v>49</v>
      </c>
      <c r="AI53" s="14" t="s">
        <v>3</v>
      </c>
      <c r="AJ53" s="15" t="s">
        <v>51</v>
      </c>
      <c r="AK53" s="16" t="s">
        <v>21</v>
      </c>
      <c r="AL53" s="15" t="s">
        <v>49</v>
      </c>
      <c r="AM53" s="15" t="s">
        <v>6</v>
      </c>
      <c r="AN53" s="15" t="s">
        <v>51</v>
      </c>
      <c r="AO53" s="16" t="s">
        <v>21</v>
      </c>
      <c r="AP53" s="15" t="s">
        <v>49</v>
      </c>
      <c r="AQ53" s="15" t="s">
        <v>7</v>
      </c>
      <c r="AR53" s="15" t="s">
        <v>51</v>
      </c>
      <c r="AS53" s="16" t="s">
        <v>21</v>
      </c>
      <c r="AT53" s="15" t="s">
        <v>49</v>
      </c>
      <c r="AU53" s="15" t="s">
        <v>13</v>
      </c>
      <c r="AV53" s="15" t="s">
        <v>51</v>
      </c>
      <c r="AW53" s="16" t="s">
        <v>21</v>
      </c>
      <c r="AX53" s="17" t="s">
        <v>49</v>
      </c>
    </row>
    <row r="54" spans="1:50" ht="13.5" customHeight="1" x14ac:dyDescent="0.2">
      <c r="A54" s="3" t="s">
        <v>71</v>
      </c>
      <c r="B54" s="3">
        <f>Results!$O$3</f>
        <v>3</v>
      </c>
      <c r="C54" s="11">
        <v>3</v>
      </c>
      <c r="D54" s="3">
        <f t="shared" ref="D54:D57" si="99">B54*C54</f>
        <v>9</v>
      </c>
      <c r="E54" s="3" t="s">
        <v>76</v>
      </c>
      <c r="F54" s="3">
        <f>Results!$O$8</f>
        <v>2</v>
      </c>
      <c r="G54" s="11">
        <v>2</v>
      </c>
      <c r="H54" s="3">
        <f t="shared" ref="H54:H57" si="100">F54*G54</f>
        <v>4</v>
      </c>
      <c r="I54" s="3" t="s">
        <v>80</v>
      </c>
      <c r="J54" s="3">
        <f>Results!$O$13</f>
        <v>2</v>
      </c>
      <c r="K54" s="11">
        <v>3</v>
      </c>
      <c r="L54" s="3">
        <f t="shared" ref="L54:L57" si="101">J54*K54</f>
        <v>6</v>
      </c>
      <c r="M54" s="3" t="s">
        <v>68</v>
      </c>
      <c r="N54" s="3">
        <f>Results!$O$18</f>
        <v>11</v>
      </c>
      <c r="O54" s="11">
        <v>3</v>
      </c>
      <c r="P54" s="18">
        <f>N54*O54</f>
        <v>33</v>
      </c>
      <c r="R54" s="3" t="s">
        <v>71</v>
      </c>
      <c r="S54" s="3">
        <f>Results!$O$3</f>
        <v>3</v>
      </c>
      <c r="T54" s="11">
        <v>3</v>
      </c>
      <c r="U54" s="3">
        <f t="shared" ref="U54:U57" si="102">S54*T54</f>
        <v>9</v>
      </c>
      <c r="V54" s="3" t="s">
        <v>76</v>
      </c>
      <c r="W54" s="3">
        <f>Results!$O$8</f>
        <v>2</v>
      </c>
      <c r="X54" s="11">
        <v>2</v>
      </c>
      <c r="Y54" s="3">
        <f t="shared" ref="Y54:Y57" si="103">W54*X54</f>
        <v>4</v>
      </c>
      <c r="Z54" s="3" t="s">
        <v>80</v>
      </c>
      <c r="AA54" s="3">
        <f>Results!$O$13</f>
        <v>2</v>
      </c>
      <c r="AB54" s="11">
        <v>3</v>
      </c>
      <c r="AC54" s="3">
        <f t="shared" ref="AC54:AC57" si="104">AA54*AB54</f>
        <v>6</v>
      </c>
      <c r="AD54" s="3" t="s">
        <v>68</v>
      </c>
      <c r="AE54" s="3">
        <f>Results!$O$18</f>
        <v>11</v>
      </c>
      <c r="AF54" s="11">
        <v>3</v>
      </c>
      <c r="AG54" s="18">
        <f>AE54*AF54</f>
        <v>33</v>
      </c>
      <c r="AI54" s="3" t="s">
        <v>71</v>
      </c>
      <c r="AJ54" s="3">
        <f>Results!$O$3</f>
        <v>3</v>
      </c>
      <c r="AK54" s="11">
        <v>3</v>
      </c>
      <c r="AL54" s="3">
        <f t="shared" ref="AL54:AL57" si="105">AJ54*AK54</f>
        <v>9</v>
      </c>
      <c r="AM54" s="3" t="s">
        <v>76</v>
      </c>
      <c r="AN54" s="3">
        <f>Results!$O$8</f>
        <v>2</v>
      </c>
      <c r="AO54" s="11">
        <v>2</v>
      </c>
      <c r="AP54" s="3">
        <f t="shared" ref="AP54:AP57" si="106">AN54*AO54</f>
        <v>4</v>
      </c>
      <c r="AQ54" s="3" t="s">
        <v>80</v>
      </c>
      <c r="AR54" s="3">
        <f>Results!$O$13</f>
        <v>2</v>
      </c>
      <c r="AS54" s="11">
        <v>3</v>
      </c>
      <c r="AT54" s="3">
        <f t="shared" ref="AT54:AT57" si="107">AR54*AS54</f>
        <v>6</v>
      </c>
      <c r="AU54" s="3" t="s">
        <v>68</v>
      </c>
      <c r="AV54" s="3">
        <f>Results!$O$18</f>
        <v>11</v>
      </c>
      <c r="AW54" s="11">
        <v>3</v>
      </c>
      <c r="AX54" s="18">
        <f>AV54*AW54</f>
        <v>33</v>
      </c>
    </row>
    <row r="55" spans="1:50" ht="13.5" customHeight="1" x14ac:dyDescent="0.2">
      <c r="A55" s="3" t="s">
        <v>123</v>
      </c>
      <c r="B55" s="3">
        <f>Results!$O$4</f>
        <v>-14</v>
      </c>
      <c r="C55" s="11"/>
      <c r="D55" s="3">
        <f t="shared" si="99"/>
        <v>0</v>
      </c>
      <c r="E55" s="3" t="s">
        <v>103</v>
      </c>
      <c r="F55" s="3">
        <f>Results!$O$9</f>
        <v>1</v>
      </c>
      <c r="G55" s="11">
        <v>1</v>
      </c>
      <c r="H55" s="3">
        <f t="shared" si="100"/>
        <v>1</v>
      </c>
      <c r="I55" s="3" t="s">
        <v>77</v>
      </c>
      <c r="J55" s="3">
        <f>Results!$O$14</f>
        <v>4</v>
      </c>
      <c r="K55" s="11">
        <v>2</v>
      </c>
      <c r="L55" s="3">
        <f t="shared" si="101"/>
        <v>8</v>
      </c>
      <c r="M55" s="3" t="s">
        <v>106</v>
      </c>
      <c r="N55" s="3">
        <f>Results!$O$19</f>
        <v>-7</v>
      </c>
      <c r="O55" s="11">
        <v>2</v>
      </c>
      <c r="P55" s="18">
        <f>N55*O55</f>
        <v>-14</v>
      </c>
      <c r="R55" s="3" t="s">
        <v>123</v>
      </c>
      <c r="S55" s="3">
        <f>Results!$O$4</f>
        <v>-14</v>
      </c>
      <c r="T55" s="11">
        <v>1</v>
      </c>
      <c r="U55" s="3">
        <f t="shared" si="102"/>
        <v>-14</v>
      </c>
      <c r="V55" s="3" t="s">
        <v>103</v>
      </c>
      <c r="W55" s="3">
        <f>Results!$O$9</f>
        <v>1</v>
      </c>
      <c r="X55" s="11">
        <v>1</v>
      </c>
      <c r="Y55" s="3">
        <f t="shared" si="103"/>
        <v>1</v>
      </c>
      <c r="Z55" s="3" t="s">
        <v>77</v>
      </c>
      <c r="AA55" s="3">
        <f>Results!$O$14</f>
        <v>4</v>
      </c>
      <c r="AB55" s="11">
        <v>2</v>
      </c>
      <c r="AC55" s="3">
        <f t="shared" si="104"/>
        <v>8</v>
      </c>
      <c r="AD55" s="3" t="s">
        <v>106</v>
      </c>
      <c r="AE55" s="3">
        <f>Results!$O$19</f>
        <v>-7</v>
      </c>
      <c r="AF55" s="11">
        <v>1</v>
      </c>
      <c r="AG55" s="18">
        <f>AE55*AF55</f>
        <v>-7</v>
      </c>
      <c r="AI55" s="3" t="s">
        <v>123</v>
      </c>
      <c r="AJ55" s="3">
        <f>Results!$O$4</f>
        <v>-14</v>
      </c>
      <c r="AK55" s="11"/>
      <c r="AL55" s="3">
        <f t="shared" si="105"/>
        <v>0</v>
      </c>
      <c r="AM55" s="3" t="s">
        <v>103</v>
      </c>
      <c r="AN55" s="3">
        <f>Results!$O$9</f>
        <v>1</v>
      </c>
      <c r="AO55" s="11">
        <v>1</v>
      </c>
      <c r="AP55" s="3">
        <f t="shared" si="106"/>
        <v>1</v>
      </c>
      <c r="AQ55" s="3" t="s">
        <v>77</v>
      </c>
      <c r="AR55" s="3">
        <f>Results!$O$14</f>
        <v>4</v>
      </c>
      <c r="AS55" s="11">
        <v>2</v>
      </c>
      <c r="AT55" s="3">
        <f t="shared" si="107"/>
        <v>8</v>
      </c>
      <c r="AU55" s="3" t="s">
        <v>106</v>
      </c>
      <c r="AV55" s="3">
        <f>Results!$O$19</f>
        <v>-7</v>
      </c>
      <c r="AW55" s="11">
        <v>1</v>
      </c>
      <c r="AX55" s="18">
        <f>AV55*AW55</f>
        <v>-7</v>
      </c>
    </row>
    <row r="56" spans="1:50" ht="13.5" customHeight="1" x14ac:dyDescent="0.2">
      <c r="A56" s="3" t="s">
        <v>124</v>
      </c>
      <c r="B56" s="3">
        <f>Results!$O$5</f>
        <v>7</v>
      </c>
      <c r="C56" s="11">
        <v>1</v>
      </c>
      <c r="D56" s="3">
        <f t="shared" si="99"/>
        <v>7</v>
      </c>
      <c r="E56" s="3" t="s">
        <v>65</v>
      </c>
      <c r="F56" s="3">
        <f>Results!$O$10</f>
        <v>2</v>
      </c>
      <c r="G56" s="11"/>
      <c r="H56" s="3">
        <f t="shared" si="100"/>
        <v>0</v>
      </c>
      <c r="I56" s="3" t="s">
        <v>104</v>
      </c>
      <c r="J56" s="3">
        <f>Results!$O$15</f>
        <v>-2</v>
      </c>
      <c r="K56" s="11"/>
      <c r="L56" s="3">
        <f t="shared" si="101"/>
        <v>0</v>
      </c>
      <c r="M56" s="3" t="s">
        <v>72</v>
      </c>
      <c r="N56" s="3">
        <f>Results!$O$20</f>
        <v>9</v>
      </c>
      <c r="O56" s="11">
        <v>1</v>
      </c>
      <c r="P56" s="18">
        <f>N56*O56</f>
        <v>9</v>
      </c>
      <c r="R56" s="3" t="s">
        <v>124</v>
      </c>
      <c r="S56" s="3">
        <f>Results!$O$5</f>
        <v>7</v>
      </c>
      <c r="T56" s="11">
        <v>2</v>
      </c>
      <c r="U56" s="3">
        <f t="shared" si="102"/>
        <v>14</v>
      </c>
      <c r="V56" s="3" t="s">
        <v>65</v>
      </c>
      <c r="W56" s="3">
        <f>Results!$O$10</f>
        <v>2</v>
      </c>
      <c r="X56" s="11"/>
      <c r="Y56" s="3">
        <f t="shared" si="103"/>
        <v>0</v>
      </c>
      <c r="Z56" s="3" t="s">
        <v>104</v>
      </c>
      <c r="AA56" s="3">
        <f>Results!$O$15</f>
        <v>-2</v>
      </c>
      <c r="AB56" s="11"/>
      <c r="AC56" s="3">
        <f t="shared" si="104"/>
        <v>0</v>
      </c>
      <c r="AD56" s="3" t="s">
        <v>72</v>
      </c>
      <c r="AE56" s="3">
        <f>Results!$O$20</f>
        <v>9</v>
      </c>
      <c r="AF56" s="11">
        <v>2</v>
      </c>
      <c r="AG56" s="18">
        <f>AE56*AF56</f>
        <v>18</v>
      </c>
      <c r="AI56" s="3" t="s">
        <v>124</v>
      </c>
      <c r="AJ56" s="3">
        <f>Results!$O$5</f>
        <v>7</v>
      </c>
      <c r="AK56" s="11">
        <v>2</v>
      </c>
      <c r="AL56" s="3">
        <f t="shared" si="105"/>
        <v>14</v>
      </c>
      <c r="AM56" s="3" t="s">
        <v>65</v>
      </c>
      <c r="AN56" s="3">
        <f>Results!$O$10</f>
        <v>2</v>
      </c>
      <c r="AO56" s="11"/>
      <c r="AP56" s="3">
        <f t="shared" si="106"/>
        <v>0</v>
      </c>
      <c r="AQ56" s="3" t="s">
        <v>104</v>
      </c>
      <c r="AR56" s="3">
        <f>Results!$O$15</f>
        <v>-2</v>
      </c>
      <c r="AS56" s="11"/>
      <c r="AT56" s="3">
        <f t="shared" si="107"/>
        <v>0</v>
      </c>
      <c r="AU56" s="3" t="s">
        <v>72</v>
      </c>
      <c r="AV56" s="3">
        <f>Results!$O$20</f>
        <v>9</v>
      </c>
      <c r="AW56" s="11"/>
      <c r="AX56" s="18">
        <f>AV56*AW56</f>
        <v>0</v>
      </c>
    </row>
    <row r="57" spans="1:50" ht="13.5" customHeight="1" x14ac:dyDescent="0.2">
      <c r="A57" s="3" t="s">
        <v>102</v>
      </c>
      <c r="B57" s="3">
        <f>Results!$O$6</f>
        <v>0</v>
      </c>
      <c r="C57" s="11">
        <v>2</v>
      </c>
      <c r="D57" s="3">
        <f t="shared" si="99"/>
        <v>0</v>
      </c>
      <c r="E57" s="3" t="s">
        <v>12</v>
      </c>
      <c r="F57" s="3">
        <f>Results!$O$11</f>
        <v>3</v>
      </c>
      <c r="G57" s="11">
        <v>3</v>
      </c>
      <c r="H57" s="3">
        <f t="shared" si="100"/>
        <v>9</v>
      </c>
      <c r="I57" s="3" t="s">
        <v>105</v>
      </c>
      <c r="J57" s="3">
        <f>Results!$O$16</f>
        <v>4</v>
      </c>
      <c r="K57" s="11">
        <v>1</v>
      </c>
      <c r="L57" s="3">
        <f t="shared" si="101"/>
        <v>4</v>
      </c>
      <c r="M57" s="3" t="s">
        <v>107</v>
      </c>
      <c r="N57" s="3">
        <f>Results!$O$21</f>
        <v>-3</v>
      </c>
      <c r="O57" s="11"/>
      <c r="P57" s="18">
        <f>N57*O57</f>
        <v>0</v>
      </c>
      <c r="R57" s="3" t="s">
        <v>102</v>
      </c>
      <c r="S57" s="3">
        <f>Results!$O$6</f>
        <v>0</v>
      </c>
      <c r="T57" s="11"/>
      <c r="U57" s="3">
        <f t="shared" si="102"/>
        <v>0</v>
      </c>
      <c r="V57" s="3" t="s">
        <v>12</v>
      </c>
      <c r="W57" s="3">
        <f>Results!$O$11</f>
        <v>3</v>
      </c>
      <c r="X57" s="11">
        <v>3</v>
      </c>
      <c r="Y57" s="3">
        <f t="shared" si="103"/>
        <v>9</v>
      </c>
      <c r="Z57" s="3" t="s">
        <v>105</v>
      </c>
      <c r="AA57" s="3">
        <f>Results!$O$16</f>
        <v>4</v>
      </c>
      <c r="AB57" s="11">
        <v>1</v>
      </c>
      <c r="AC57" s="3">
        <f t="shared" si="104"/>
        <v>4</v>
      </c>
      <c r="AD57" s="3" t="s">
        <v>107</v>
      </c>
      <c r="AE57" s="3">
        <f>Results!$O$21</f>
        <v>-3</v>
      </c>
      <c r="AF57" s="11"/>
      <c r="AG57" s="18">
        <f>AE57*AF57</f>
        <v>0</v>
      </c>
      <c r="AI57" s="3" t="s">
        <v>102</v>
      </c>
      <c r="AJ57" s="3">
        <f>Results!$O$6</f>
        <v>0</v>
      </c>
      <c r="AK57" s="11">
        <v>1</v>
      </c>
      <c r="AL57" s="3">
        <f t="shared" si="105"/>
        <v>0</v>
      </c>
      <c r="AM57" s="3" t="s">
        <v>12</v>
      </c>
      <c r="AN57" s="3">
        <f>Results!$O$11</f>
        <v>3</v>
      </c>
      <c r="AO57" s="11">
        <v>3</v>
      </c>
      <c r="AP57" s="3">
        <f t="shared" si="106"/>
        <v>9</v>
      </c>
      <c r="AQ57" s="3" t="s">
        <v>105</v>
      </c>
      <c r="AR57" s="3">
        <f>Results!$O$16</f>
        <v>4</v>
      </c>
      <c r="AS57" s="11">
        <v>1</v>
      </c>
      <c r="AT57" s="3">
        <f t="shared" si="107"/>
        <v>4</v>
      </c>
      <c r="AU57" s="3" t="s">
        <v>107</v>
      </c>
      <c r="AV57" s="3">
        <f>Results!$O$21</f>
        <v>-3</v>
      </c>
      <c r="AW57" s="11">
        <v>2</v>
      </c>
      <c r="AX57" s="18">
        <f>AV57*AW57</f>
        <v>-6</v>
      </c>
    </row>
    <row r="58" spans="1:50" ht="13.5" customHeight="1" x14ac:dyDescent="0.2">
      <c r="A58" s="14" t="s">
        <v>14</v>
      </c>
      <c r="B58" s="15" t="s">
        <v>51</v>
      </c>
      <c r="C58" s="16" t="s">
        <v>21</v>
      </c>
      <c r="D58" s="15" t="s">
        <v>49</v>
      </c>
      <c r="E58" s="15" t="s">
        <v>15</v>
      </c>
      <c r="F58" s="15" t="s">
        <v>51</v>
      </c>
      <c r="G58" s="16" t="s">
        <v>21</v>
      </c>
      <c r="H58" s="15" t="s">
        <v>49</v>
      </c>
      <c r="I58" s="15" t="s">
        <v>78</v>
      </c>
      <c r="J58" s="15" t="s">
        <v>51</v>
      </c>
      <c r="K58" s="16" t="s">
        <v>21</v>
      </c>
      <c r="L58" s="15" t="s">
        <v>49</v>
      </c>
      <c r="M58" s="15" t="s">
        <v>79</v>
      </c>
      <c r="N58" s="15" t="s">
        <v>51</v>
      </c>
      <c r="O58" s="16" t="s">
        <v>21</v>
      </c>
      <c r="P58" s="15" t="s">
        <v>49</v>
      </c>
      <c r="R58" s="14" t="s">
        <v>14</v>
      </c>
      <c r="S58" s="15" t="s">
        <v>51</v>
      </c>
      <c r="T58" s="16" t="s">
        <v>21</v>
      </c>
      <c r="U58" s="15" t="s">
        <v>49</v>
      </c>
      <c r="V58" s="15" t="s">
        <v>15</v>
      </c>
      <c r="W58" s="15" t="s">
        <v>51</v>
      </c>
      <c r="X58" s="16" t="s">
        <v>21</v>
      </c>
      <c r="Y58" s="15" t="s">
        <v>49</v>
      </c>
      <c r="Z58" s="15" t="s">
        <v>78</v>
      </c>
      <c r="AA58" s="15" t="s">
        <v>51</v>
      </c>
      <c r="AB58" s="16" t="s">
        <v>21</v>
      </c>
      <c r="AC58" s="15" t="s">
        <v>49</v>
      </c>
      <c r="AD58" s="15" t="s">
        <v>79</v>
      </c>
      <c r="AE58" s="15" t="s">
        <v>51</v>
      </c>
      <c r="AF58" s="16" t="s">
        <v>21</v>
      </c>
      <c r="AG58" s="15" t="s">
        <v>49</v>
      </c>
      <c r="AI58" s="14" t="s">
        <v>14</v>
      </c>
      <c r="AJ58" s="15" t="s">
        <v>51</v>
      </c>
      <c r="AK58" s="16" t="s">
        <v>21</v>
      </c>
      <c r="AL58" s="15" t="s">
        <v>49</v>
      </c>
      <c r="AM58" s="15" t="s">
        <v>15</v>
      </c>
      <c r="AN58" s="15" t="s">
        <v>51</v>
      </c>
      <c r="AO58" s="16" t="s">
        <v>21</v>
      </c>
      <c r="AP58" s="15" t="s">
        <v>49</v>
      </c>
      <c r="AQ58" s="15" t="s">
        <v>78</v>
      </c>
      <c r="AR58" s="15" t="s">
        <v>51</v>
      </c>
      <c r="AS58" s="16" t="s">
        <v>21</v>
      </c>
      <c r="AT58" s="15" t="s">
        <v>49</v>
      </c>
      <c r="AU58" s="15" t="s">
        <v>79</v>
      </c>
      <c r="AV58" s="15" t="s">
        <v>51</v>
      </c>
      <c r="AW58" s="16" t="s">
        <v>21</v>
      </c>
      <c r="AX58" s="15" t="s">
        <v>49</v>
      </c>
    </row>
    <row r="59" spans="1:50" ht="13.5" customHeight="1" x14ac:dyDescent="0.2">
      <c r="A59" s="3" t="s">
        <v>11</v>
      </c>
      <c r="B59" s="3">
        <f>Results!$O$23</f>
        <v>18</v>
      </c>
      <c r="C59" s="11">
        <v>3</v>
      </c>
      <c r="D59" s="3">
        <f t="shared" ref="D59:D62" si="108">B59*C59</f>
        <v>54</v>
      </c>
      <c r="E59" s="3" t="s">
        <v>57</v>
      </c>
      <c r="F59" s="3">
        <f>Results!$O$28</f>
        <v>2</v>
      </c>
      <c r="G59" s="11">
        <v>3</v>
      </c>
      <c r="H59" s="3">
        <f t="shared" ref="H59:H62" si="109">F59*G59</f>
        <v>6</v>
      </c>
      <c r="I59" s="3" t="s">
        <v>18</v>
      </c>
      <c r="J59" s="3">
        <f>Results!$O$33</f>
        <v>2</v>
      </c>
      <c r="K59" s="11">
        <v>3</v>
      </c>
      <c r="L59" s="3">
        <f t="shared" ref="L59:L62" si="110">J59*K59</f>
        <v>6</v>
      </c>
      <c r="M59" s="3" t="s">
        <v>17</v>
      </c>
      <c r="N59" s="3">
        <f>Results!$O$38</f>
        <v>2</v>
      </c>
      <c r="O59" s="11">
        <v>5</v>
      </c>
      <c r="P59" s="3">
        <f t="shared" ref="P59:P62" si="111">N59*O59</f>
        <v>10</v>
      </c>
      <c r="R59" s="3" t="s">
        <v>11</v>
      </c>
      <c r="S59" s="3">
        <f>Results!$O$23</f>
        <v>18</v>
      </c>
      <c r="T59" s="11">
        <v>3</v>
      </c>
      <c r="U59" s="3">
        <f t="shared" ref="U59:U62" si="112">S59*T59</f>
        <v>54</v>
      </c>
      <c r="V59" s="3" t="s">
        <v>57</v>
      </c>
      <c r="W59" s="3">
        <f>Results!$O$28</f>
        <v>2</v>
      </c>
      <c r="X59" s="11">
        <v>3</v>
      </c>
      <c r="Y59" s="3">
        <f t="shared" ref="Y59:Y62" si="113">W59*X59</f>
        <v>6</v>
      </c>
      <c r="Z59" s="3" t="s">
        <v>18</v>
      </c>
      <c r="AA59" s="3">
        <f>Results!$O$33</f>
        <v>2</v>
      </c>
      <c r="AB59" s="11">
        <v>3</v>
      </c>
      <c r="AC59" s="3">
        <f t="shared" ref="AC59:AC62" si="114">AA59*AB59</f>
        <v>6</v>
      </c>
      <c r="AD59" s="3" t="s">
        <v>17</v>
      </c>
      <c r="AE59" s="3">
        <f>Results!$O$38</f>
        <v>2</v>
      </c>
      <c r="AF59" s="11">
        <v>3</v>
      </c>
      <c r="AG59" s="3">
        <f t="shared" ref="AG59:AG62" si="115">AE59*AF59</f>
        <v>6</v>
      </c>
      <c r="AI59" s="3" t="s">
        <v>11</v>
      </c>
      <c r="AJ59" s="3">
        <f>Results!$O$23</f>
        <v>18</v>
      </c>
      <c r="AK59" s="11">
        <v>3</v>
      </c>
      <c r="AL59" s="3">
        <f t="shared" ref="AL59:AL62" si="116">AJ59*AK59</f>
        <v>54</v>
      </c>
      <c r="AM59" s="3" t="s">
        <v>57</v>
      </c>
      <c r="AN59" s="3">
        <f>Results!$O$28</f>
        <v>2</v>
      </c>
      <c r="AO59" s="11">
        <v>3</v>
      </c>
      <c r="AP59" s="3">
        <f t="shared" ref="AP59:AP62" si="117">AN59*AO59</f>
        <v>6</v>
      </c>
      <c r="AQ59" s="3" t="s">
        <v>18</v>
      </c>
      <c r="AR59" s="3">
        <f>Results!$O$33</f>
        <v>2</v>
      </c>
      <c r="AS59" s="11">
        <v>3</v>
      </c>
      <c r="AT59" s="3">
        <f t="shared" ref="AT59:AT62" si="118">AR59*AS59</f>
        <v>6</v>
      </c>
      <c r="AU59" s="3" t="s">
        <v>17</v>
      </c>
      <c r="AV59" s="3">
        <f>Results!$O$38</f>
        <v>2</v>
      </c>
      <c r="AW59" s="11">
        <v>3</v>
      </c>
      <c r="AX59" s="3">
        <f t="shared" ref="AX59:AX62" si="119">AV59*AW59</f>
        <v>6</v>
      </c>
    </row>
    <row r="60" spans="1:50" ht="13.5" customHeight="1" x14ac:dyDescent="0.2">
      <c r="A60" s="3" t="s">
        <v>108</v>
      </c>
      <c r="B60" s="3">
        <f>Results!$O$24</f>
        <v>-5</v>
      </c>
      <c r="C60" s="11"/>
      <c r="D60" s="3">
        <f t="shared" si="108"/>
        <v>0</v>
      </c>
      <c r="E60" s="3" t="s">
        <v>75</v>
      </c>
      <c r="F60" s="3">
        <f>Results!$O$29</f>
        <v>5</v>
      </c>
      <c r="G60" s="11">
        <v>2</v>
      </c>
      <c r="H60" s="3">
        <f t="shared" si="109"/>
        <v>10</v>
      </c>
      <c r="I60" s="3" t="s">
        <v>111</v>
      </c>
      <c r="J60" s="3">
        <f>Results!$O$34</f>
        <v>2</v>
      </c>
      <c r="K60" s="11">
        <v>2</v>
      </c>
      <c r="L60" s="3">
        <f t="shared" si="110"/>
        <v>4</v>
      </c>
      <c r="M60" s="3" t="s">
        <v>113</v>
      </c>
      <c r="N60" s="3">
        <f>Results!$O$39</f>
        <v>2</v>
      </c>
      <c r="O60" s="11">
        <v>1</v>
      </c>
      <c r="P60" s="3">
        <f t="shared" si="111"/>
        <v>2</v>
      </c>
      <c r="R60" s="3" t="s">
        <v>108</v>
      </c>
      <c r="S60" s="3">
        <f>Results!$O$24</f>
        <v>-5</v>
      </c>
      <c r="T60" s="11"/>
      <c r="U60" s="3">
        <f t="shared" si="112"/>
        <v>0</v>
      </c>
      <c r="V60" s="3" t="s">
        <v>75</v>
      </c>
      <c r="W60" s="3">
        <f>Results!$O$29</f>
        <v>5</v>
      </c>
      <c r="X60" s="11">
        <v>2</v>
      </c>
      <c r="Y60" s="3">
        <f t="shared" si="113"/>
        <v>10</v>
      </c>
      <c r="Z60" s="3" t="s">
        <v>111</v>
      </c>
      <c r="AA60" s="3">
        <f>Results!$O$34</f>
        <v>2</v>
      </c>
      <c r="AB60" s="11">
        <v>2</v>
      </c>
      <c r="AC60" s="3">
        <f t="shared" si="114"/>
        <v>4</v>
      </c>
      <c r="AD60" s="3" t="s">
        <v>113</v>
      </c>
      <c r="AE60" s="3">
        <f>Results!$O$39</f>
        <v>2</v>
      </c>
      <c r="AF60" s="11"/>
      <c r="AG60" s="3">
        <f t="shared" si="115"/>
        <v>0</v>
      </c>
      <c r="AI60" s="3" t="s">
        <v>108</v>
      </c>
      <c r="AJ60" s="3">
        <f>Results!$O$24</f>
        <v>-5</v>
      </c>
      <c r="AK60" s="11">
        <v>1</v>
      </c>
      <c r="AL60" s="3">
        <f t="shared" si="116"/>
        <v>-5</v>
      </c>
      <c r="AM60" s="3" t="s">
        <v>75</v>
      </c>
      <c r="AN60" s="3">
        <f>Results!$O$29</f>
        <v>5</v>
      </c>
      <c r="AO60" s="11">
        <v>1</v>
      </c>
      <c r="AP60" s="3">
        <f t="shared" si="117"/>
        <v>5</v>
      </c>
      <c r="AQ60" s="3" t="s">
        <v>111</v>
      </c>
      <c r="AR60" s="3">
        <f>Results!$O$34</f>
        <v>2</v>
      </c>
      <c r="AS60" s="11">
        <v>2</v>
      </c>
      <c r="AT60" s="3">
        <f t="shared" si="118"/>
        <v>4</v>
      </c>
      <c r="AU60" s="3" t="s">
        <v>113</v>
      </c>
      <c r="AV60" s="3">
        <f>Results!$O$39</f>
        <v>2</v>
      </c>
      <c r="AW60" s="11"/>
      <c r="AX60" s="3">
        <f t="shared" si="119"/>
        <v>0</v>
      </c>
    </row>
    <row r="61" spans="1:50" ht="13.5" customHeight="1" x14ac:dyDescent="0.2">
      <c r="A61" s="3" t="s">
        <v>109</v>
      </c>
      <c r="B61" s="3">
        <f>Results!$O$25</f>
        <v>4</v>
      </c>
      <c r="C61" s="11">
        <v>1</v>
      </c>
      <c r="D61" s="3">
        <f t="shared" si="108"/>
        <v>4</v>
      </c>
      <c r="E61" s="3" t="s">
        <v>110</v>
      </c>
      <c r="F61" s="3">
        <f>Results!$O$30</f>
        <v>14</v>
      </c>
      <c r="G61" s="11">
        <v>1</v>
      </c>
      <c r="H61" s="3">
        <f t="shared" si="109"/>
        <v>14</v>
      </c>
      <c r="I61" s="3" t="s">
        <v>67</v>
      </c>
      <c r="J61" s="3">
        <f>Results!$O$35</f>
        <v>4</v>
      </c>
      <c r="K61" s="11">
        <v>1</v>
      </c>
      <c r="L61" s="3">
        <f t="shared" si="110"/>
        <v>4</v>
      </c>
      <c r="M61" s="3" t="s">
        <v>70</v>
      </c>
      <c r="N61" s="3">
        <f>Results!$O$40</f>
        <v>3</v>
      </c>
      <c r="O61" s="11">
        <v>2</v>
      </c>
      <c r="P61" s="3">
        <f t="shared" si="111"/>
        <v>6</v>
      </c>
      <c r="R61" s="3" t="s">
        <v>109</v>
      </c>
      <c r="S61" s="3">
        <f>Results!$O$25</f>
        <v>4</v>
      </c>
      <c r="T61" s="11">
        <v>1</v>
      </c>
      <c r="U61" s="3">
        <f t="shared" si="112"/>
        <v>4</v>
      </c>
      <c r="V61" s="3" t="s">
        <v>110</v>
      </c>
      <c r="W61" s="3">
        <f>Results!$O$30</f>
        <v>14</v>
      </c>
      <c r="X61" s="11">
        <v>1</v>
      </c>
      <c r="Y61" s="3">
        <f t="shared" si="113"/>
        <v>14</v>
      </c>
      <c r="Z61" s="3" t="s">
        <v>67</v>
      </c>
      <c r="AA61" s="3">
        <f>Results!$O$35</f>
        <v>4</v>
      </c>
      <c r="AB61" s="11"/>
      <c r="AC61" s="3">
        <f t="shared" si="114"/>
        <v>0</v>
      </c>
      <c r="AD61" s="3" t="s">
        <v>70</v>
      </c>
      <c r="AE61" s="3">
        <f>Results!$O$40</f>
        <v>3</v>
      </c>
      <c r="AF61" s="11">
        <v>1</v>
      </c>
      <c r="AG61" s="3">
        <f t="shared" si="115"/>
        <v>3</v>
      </c>
      <c r="AI61" s="3" t="s">
        <v>109</v>
      </c>
      <c r="AJ61" s="3">
        <f>Results!$O$25</f>
        <v>4</v>
      </c>
      <c r="AK61" s="11"/>
      <c r="AL61" s="3">
        <f t="shared" si="116"/>
        <v>0</v>
      </c>
      <c r="AM61" s="3" t="s">
        <v>110</v>
      </c>
      <c r="AN61" s="3">
        <f>Results!$O$30</f>
        <v>14</v>
      </c>
      <c r="AO61" s="11">
        <v>2</v>
      </c>
      <c r="AP61" s="3">
        <f t="shared" si="117"/>
        <v>28</v>
      </c>
      <c r="AQ61" s="3" t="s">
        <v>67</v>
      </c>
      <c r="AR61" s="3">
        <f>Results!$O$35</f>
        <v>4</v>
      </c>
      <c r="AS61" s="11">
        <v>1</v>
      </c>
      <c r="AT61" s="3">
        <f t="shared" si="118"/>
        <v>4</v>
      </c>
      <c r="AU61" s="3" t="s">
        <v>70</v>
      </c>
      <c r="AV61" s="3">
        <f>Results!$O$40</f>
        <v>3</v>
      </c>
      <c r="AW61" s="11">
        <v>1</v>
      </c>
      <c r="AX61" s="3">
        <f t="shared" si="119"/>
        <v>3</v>
      </c>
    </row>
    <row r="62" spans="1:50" ht="13.5" customHeight="1" x14ac:dyDescent="0.2">
      <c r="A62" s="24" t="s">
        <v>91</v>
      </c>
      <c r="B62" s="24">
        <f>Results!$O$26</f>
        <v>-2</v>
      </c>
      <c r="C62" s="25">
        <v>2</v>
      </c>
      <c r="D62" s="24">
        <f t="shared" si="108"/>
        <v>-4</v>
      </c>
      <c r="E62" s="24" t="s">
        <v>73</v>
      </c>
      <c r="F62" s="24">
        <f>Results!$O$31</f>
        <v>-4</v>
      </c>
      <c r="G62" s="25"/>
      <c r="H62" s="24">
        <f t="shared" si="109"/>
        <v>0</v>
      </c>
      <c r="I62" s="24" t="s">
        <v>112</v>
      </c>
      <c r="J62" s="24">
        <f>Results!$O$36</f>
        <v>5</v>
      </c>
      <c r="K62" s="25"/>
      <c r="L62" s="24">
        <f t="shared" si="110"/>
        <v>0</v>
      </c>
      <c r="M62" s="24" t="s">
        <v>84</v>
      </c>
      <c r="N62" s="24">
        <f>Results!$O$41</f>
        <v>4</v>
      </c>
      <c r="O62" s="25">
        <v>3</v>
      </c>
      <c r="P62" s="24">
        <f t="shared" si="111"/>
        <v>12</v>
      </c>
      <c r="R62" s="24" t="s">
        <v>91</v>
      </c>
      <c r="S62" s="24">
        <f>Results!$O$26</f>
        <v>-2</v>
      </c>
      <c r="T62" s="25">
        <v>2</v>
      </c>
      <c r="U62" s="24">
        <f t="shared" si="112"/>
        <v>-4</v>
      </c>
      <c r="V62" s="24" t="s">
        <v>73</v>
      </c>
      <c r="W62" s="24">
        <f>Results!$O$31</f>
        <v>-4</v>
      </c>
      <c r="X62" s="25"/>
      <c r="Y62" s="24">
        <f t="shared" si="113"/>
        <v>0</v>
      </c>
      <c r="Z62" s="24" t="s">
        <v>112</v>
      </c>
      <c r="AA62" s="24">
        <f>Results!$O$36</f>
        <v>5</v>
      </c>
      <c r="AB62" s="25">
        <v>1</v>
      </c>
      <c r="AC62" s="24">
        <f t="shared" si="114"/>
        <v>5</v>
      </c>
      <c r="AD62" s="24" t="s">
        <v>84</v>
      </c>
      <c r="AE62" s="24">
        <f>Results!$O$41</f>
        <v>4</v>
      </c>
      <c r="AF62" s="25">
        <v>2</v>
      </c>
      <c r="AG62" s="24">
        <f t="shared" si="115"/>
        <v>8</v>
      </c>
      <c r="AI62" s="24" t="s">
        <v>91</v>
      </c>
      <c r="AJ62" s="24">
        <f>Results!$O$26</f>
        <v>-2</v>
      </c>
      <c r="AK62" s="25">
        <v>2</v>
      </c>
      <c r="AL62" s="24">
        <f t="shared" si="116"/>
        <v>-4</v>
      </c>
      <c r="AM62" s="24" t="s">
        <v>73</v>
      </c>
      <c r="AN62" s="24">
        <f>Results!$O$31</f>
        <v>-4</v>
      </c>
      <c r="AO62" s="25"/>
      <c r="AP62" s="24">
        <f t="shared" si="117"/>
        <v>0</v>
      </c>
      <c r="AQ62" s="24" t="s">
        <v>112</v>
      </c>
      <c r="AR62" s="24">
        <f>Results!$O$36</f>
        <v>5</v>
      </c>
      <c r="AS62" s="25"/>
      <c r="AT62" s="24">
        <f t="shared" si="118"/>
        <v>0</v>
      </c>
      <c r="AU62" s="24" t="s">
        <v>84</v>
      </c>
      <c r="AV62" s="24">
        <f>Results!$O$41</f>
        <v>4</v>
      </c>
      <c r="AW62" s="25">
        <v>2</v>
      </c>
      <c r="AX62" s="24">
        <f t="shared" si="119"/>
        <v>8</v>
      </c>
    </row>
    <row r="63" spans="1:50" ht="13.5" customHeight="1" x14ac:dyDescent="0.2">
      <c r="A63" s="14" t="s">
        <v>97</v>
      </c>
      <c r="B63" s="15" t="s">
        <v>51</v>
      </c>
      <c r="C63" s="16" t="s">
        <v>21</v>
      </c>
      <c r="D63" s="15" t="s">
        <v>49</v>
      </c>
      <c r="E63" s="15" t="s">
        <v>98</v>
      </c>
      <c r="F63" s="15" t="s">
        <v>51</v>
      </c>
      <c r="G63" s="16" t="s">
        <v>21</v>
      </c>
      <c r="H63" s="15" t="s">
        <v>49</v>
      </c>
      <c r="I63" s="15" t="s">
        <v>99</v>
      </c>
      <c r="J63" s="15" t="s">
        <v>51</v>
      </c>
      <c r="K63" s="16" t="s">
        <v>21</v>
      </c>
      <c r="L63" s="15" t="s">
        <v>49</v>
      </c>
      <c r="M63" s="15" t="s">
        <v>100</v>
      </c>
      <c r="N63" s="15" t="s">
        <v>51</v>
      </c>
      <c r="O63" s="16" t="s">
        <v>21</v>
      </c>
      <c r="P63" s="15" t="s">
        <v>49</v>
      </c>
      <c r="R63" s="14" t="s">
        <v>97</v>
      </c>
      <c r="S63" s="15" t="s">
        <v>51</v>
      </c>
      <c r="T63" s="16" t="s">
        <v>21</v>
      </c>
      <c r="U63" s="15" t="s">
        <v>49</v>
      </c>
      <c r="V63" s="15" t="s">
        <v>98</v>
      </c>
      <c r="W63" s="15" t="s">
        <v>51</v>
      </c>
      <c r="X63" s="16" t="s">
        <v>21</v>
      </c>
      <c r="Y63" s="15" t="s">
        <v>49</v>
      </c>
      <c r="Z63" s="15" t="s">
        <v>99</v>
      </c>
      <c r="AA63" s="15" t="s">
        <v>51</v>
      </c>
      <c r="AB63" s="16" t="s">
        <v>21</v>
      </c>
      <c r="AC63" s="15" t="s">
        <v>49</v>
      </c>
      <c r="AD63" s="15" t="s">
        <v>100</v>
      </c>
      <c r="AE63" s="15" t="s">
        <v>51</v>
      </c>
      <c r="AF63" s="16" t="s">
        <v>21</v>
      </c>
      <c r="AG63" s="15" t="s">
        <v>49</v>
      </c>
      <c r="AI63" s="14" t="s">
        <v>97</v>
      </c>
      <c r="AJ63" s="15" t="s">
        <v>51</v>
      </c>
      <c r="AK63" s="16" t="s">
        <v>21</v>
      </c>
      <c r="AL63" s="15" t="s">
        <v>49</v>
      </c>
      <c r="AM63" s="15" t="s">
        <v>98</v>
      </c>
      <c r="AN63" s="15" t="s">
        <v>51</v>
      </c>
      <c r="AO63" s="16" t="s">
        <v>21</v>
      </c>
      <c r="AP63" s="15" t="s">
        <v>49</v>
      </c>
      <c r="AQ63" s="15" t="s">
        <v>99</v>
      </c>
      <c r="AR63" s="15" t="s">
        <v>51</v>
      </c>
      <c r="AS63" s="16" t="s">
        <v>21</v>
      </c>
      <c r="AT63" s="15" t="s">
        <v>49</v>
      </c>
      <c r="AU63" s="15" t="s">
        <v>100</v>
      </c>
      <c r="AV63" s="15" t="s">
        <v>51</v>
      </c>
      <c r="AW63" s="16" t="s">
        <v>21</v>
      </c>
      <c r="AX63" s="15" t="s">
        <v>49</v>
      </c>
    </row>
    <row r="64" spans="1:50" ht="13.5" customHeight="1" x14ac:dyDescent="0.2">
      <c r="A64" s="3" t="s">
        <v>8</v>
      </c>
      <c r="B64" s="3">
        <f>Results!$O$43</f>
        <v>10</v>
      </c>
      <c r="C64" s="11">
        <v>3</v>
      </c>
      <c r="D64" s="3">
        <f t="shared" ref="D64:D67" si="120">B64*C64</f>
        <v>30</v>
      </c>
      <c r="E64" s="3" t="s">
        <v>69</v>
      </c>
      <c r="F64" s="3">
        <f>Results!$O$48</f>
        <v>11</v>
      </c>
      <c r="G64" s="11">
        <v>3</v>
      </c>
      <c r="H64" s="3">
        <f t="shared" ref="H64:H67" si="121">F64*G64</f>
        <v>33</v>
      </c>
      <c r="I64" s="3" t="s">
        <v>19</v>
      </c>
      <c r="J64" s="3">
        <f>Results!$O$53</f>
        <v>1</v>
      </c>
      <c r="K64" s="11">
        <v>3</v>
      </c>
      <c r="L64" s="3">
        <f t="shared" ref="L64:L67" si="122">J64*K64</f>
        <v>3</v>
      </c>
      <c r="M64" s="3" t="s">
        <v>10</v>
      </c>
      <c r="N64" s="3">
        <f>Results!$O$58</f>
        <v>11</v>
      </c>
      <c r="O64" s="11">
        <v>3</v>
      </c>
      <c r="P64" s="3">
        <f t="shared" ref="P64:P67" si="123">N64*O64</f>
        <v>33</v>
      </c>
      <c r="R64" s="3" t="s">
        <v>8</v>
      </c>
      <c r="S64" s="3">
        <f>Results!$O$43</f>
        <v>10</v>
      </c>
      <c r="T64" s="11">
        <v>5</v>
      </c>
      <c r="U64" s="3">
        <f t="shared" ref="U64:U67" si="124">S64*T64</f>
        <v>50</v>
      </c>
      <c r="V64" s="3" t="s">
        <v>69</v>
      </c>
      <c r="W64" s="3">
        <f>Results!$O$48</f>
        <v>11</v>
      </c>
      <c r="X64" s="11">
        <v>3</v>
      </c>
      <c r="Y64" s="3">
        <f t="shared" ref="Y64:Y67" si="125">W64*X64</f>
        <v>33</v>
      </c>
      <c r="Z64" s="3" t="s">
        <v>19</v>
      </c>
      <c r="AA64" s="3">
        <f>Results!$O$53</f>
        <v>1</v>
      </c>
      <c r="AB64" s="11">
        <v>3</v>
      </c>
      <c r="AC64" s="3">
        <f t="shared" ref="AC64:AC67" si="126">AA64*AB64</f>
        <v>3</v>
      </c>
      <c r="AD64" s="3" t="s">
        <v>10</v>
      </c>
      <c r="AE64" s="3">
        <f>Results!$O$58</f>
        <v>11</v>
      </c>
      <c r="AF64" s="11">
        <v>3</v>
      </c>
      <c r="AG64" s="3">
        <f t="shared" ref="AG64:AG67" si="127">AE64*AF64</f>
        <v>33</v>
      </c>
      <c r="AI64" s="3" t="s">
        <v>8</v>
      </c>
      <c r="AJ64" s="3">
        <f>Results!$O$43</f>
        <v>10</v>
      </c>
      <c r="AK64" s="11">
        <v>5</v>
      </c>
      <c r="AL64" s="3">
        <f t="shared" ref="AL64:AL67" si="128">AJ64*AK64</f>
        <v>50</v>
      </c>
      <c r="AM64" s="3" t="s">
        <v>69</v>
      </c>
      <c r="AN64" s="3">
        <f>Results!$O$48</f>
        <v>11</v>
      </c>
      <c r="AO64" s="11">
        <v>3</v>
      </c>
      <c r="AP64" s="3">
        <f t="shared" ref="AP64:AP67" si="129">AN64*AO64</f>
        <v>33</v>
      </c>
      <c r="AQ64" s="3" t="s">
        <v>19</v>
      </c>
      <c r="AR64" s="3">
        <f>Results!$O$53</f>
        <v>1</v>
      </c>
      <c r="AS64" s="11">
        <v>3</v>
      </c>
      <c r="AT64" s="3">
        <f t="shared" ref="AT64:AT67" si="130">AR64*AS64</f>
        <v>3</v>
      </c>
      <c r="AU64" s="3" t="s">
        <v>10</v>
      </c>
      <c r="AV64" s="3">
        <f>Results!$O$58</f>
        <v>11</v>
      </c>
      <c r="AW64" s="11">
        <v>3</v>
      </c>
      <c r="AX64" s="3">
        <f t="shared" ref="AX64:AX67" si="131">AV64*AW64</f>
        <v>33</v>
      </c>
    </row>
    <row r="65" spans="1:50" ht="13.5" customHeight="1" x14ac:dyDescent="0.2">
      <c r="A65" s="3" t="s">
        <v>66</v>
      </c>
      <c r="B65" s="3">
        <f>Results!$O$44</f>
        <v>-1</v>
      </c>
      <c r="C65" s="11">
        <v>1</v>
      </c>
      <c r="D65" s="3">
        <f t="shared" si="120"/>
        <v>-1</v>
      </c>
      <c r="E65" s="3" t="s">
        <v>116</v>
      </c>
      <c r="F65" s="3">
        <f>Results!$O$49</f>
        <v>-3</v>
      </c>
      <c r="G65" s="11">
        <v>1</v>
      </c>
      <c r="H65" s="3">
        <f t="shared" si="121"/>
        <v>-3</v>
      </c>
      <c r="I65" s="3" t="s">
        <v>119</v>
      </c>
      <c r="J65" s="3">
        <f>Results!$O$54</f>
        <v>3</v>
      </c>
      <c r="K65" s="11">
        <v>1</v>
      </c>
      <c r="L65" s="3">
        <f t="shared" si="122"/>
        <v>3</v>
      </c>
      <c r="M65" s="3" t="s">
        <v>16</v>
      </c>
      <c r="N65" s="3">
        <f>Results!$O$59</f>
        <v>0</v>
      </c>
      <c r="O65" s="11">
        <v>2</v>
      </c>
      <c r="P65" s="3">
        <f t="shared" si="123"/>
        <v>0</v>
      </c>
      <c r="R65" s="3" t="s">
        <v>66</v>
      </c>
      <c r="S65" s="3">
        <f>Results!$O$44</f>
        <v>-1</v>
      </c>
      <c r="T65" s="11">
        <v>2</v>
      </c>
      <c r="U65" s="3">
        <f t="shared" si="124"/>
        <v>-2</v>
      </c>
      <c r="V65" s="3" t="s">
        <v>116</v>
      </c>
      <c r="W65" s="3">
        <f>Results!$O$49</f>
        <v>-3</v>
      </c>
      <c r="X65" s="11">
        <v>1</v>
      </c>
      <c r="Y65" s="3">
        <f t="shared" si="125"/>
        <v>-3</v>
      </c>
      <c r="Z65" s="3" t="s">
        <v>119</v>
      </c>
      <c r="AA65" s="3">
        <f>Results!$O$54</f>
        <v>3</v>
      </c>
      <c r="AB65" s="11">
        <v>1</v>
      </c>
      <c r="AC65" s="3">
        <f t="shared" si="126"/>
        <v>3</v>
      </c>
      <c r="AD65" s="3" t="s">
        <v>16</v>
      </c>
      <c r="AE65" s="3">
        <f>Results!$O$59</f>
        <v>0</v>
      </c>
      <c r="AF65" s="11">
        <v>2</v>
      </c>
      <c r="AG65" s="3">
        <f t="shared" si="127"/>
        <v>0</v>
      </c>
      <c r="AI65" s="3" t="s">
        <v>66</v>
      </c>
      <c r="AJ65" s="3">
        <f>Results!$O$44</f>
        <v>-1</v>
      </c>
      <c r="AK65" s="11">
        <v>2</v>
      </c>
      <c r="AL65" s="3">
        <f t="shared" si="128"/>
        <v>-2</v>
      </c>
      <c r="AM65" s="3" t="s">
        <v>116</v>
      </c>
      <c r="AN65" s="3">
        <f>Results!$O$49</f>
        <v>-3</v>
      </c>
      <c r="AO65" s="11">
        <v>1</v>
      </c>
      <c r="AP65" s="3">
        <f t="shared" si="129"/>
        <v>-3</v>
      </c>
      <c r="AQ65" s="3" t="s">
        <v>119</v>
      </c>
      <c r="AR65" s="3">
        <f>Results!$O$54</f>
        <v>3</v>
      </c>
      <c r="AS65" s="11">
        <v>1</v>
      </c>
      <c r="AT65" s="3">
        <f t="shared" si="130"/>
        <v>3</v>
      </c>
      <c r="AU65" s="3" t="s">
        <v>16</v>
      </c>
      <c r="AV65" s="3">
        <f>Results!$O$59</f>
        <v>0</v>
      </c>
      <c r="AW65" s="11">
        <v>2</v>
      </c>
      <c r="AX65" s="3">
        <f t="shared" si="131"/>
        <v>0</v>
      </c>
    </row>
    <row r="66" spans="1:50" ht="13.5" customHeight="1" x14ac:dyDescent="0.2">
      <c r="A66" s="3" t="s">
        <v>114</v>
      </c>
      <c r="B66" s="3">
        <f>Results!$O$45</f>
        <v>-3</v>
      </c>
      <c r="C66" s="11"/>
      <c r="D66" s="3">
        <f t="shared" si="120"/>
        <v>0</v>
      </c>
      <c r="E66" s="3" t="s">
        <v>117</v>
      </c>
      <c r="F66" s="3">
        <f>Results!$O$50</f>
        <v>9</v>
      </c>
      <c r="G66" s="11">
        <v>2</v>
      </c>
      <c r="H66" s="3">
        <f t="shared" si="121"/>
        <v>18</v>
      </c>
      <c r="I66" s="3" t="s">
        <v>120</v>
      </c>
      <c r="J66" s="3">
        <f>Results!$O$55</f>
        <v>-2</v>
      </c>
      <c r="K66" s="11"/>
      <c r="L66" s="3">
        <f t="shared" si="122"/>
        <v>0</v>
      </c>
      <c r="M66" s="3" t="s">
        <v>83</v>
      </c>
      <c r="N66" s="3">
        <f>Results!$O$60</f>
        <v>6</v>
      </c>
      <c r="O66" s="11">
        <v>1</v>
      </c>
      <c r="P66" s="3">
        <f t="shared" si="123"/>
        <v>6</v>
      </c>
      <c r="R66" s="3" t="s">
        <v>114</v>
      </c>
      <c r="S66" s="3">
        <f>Results!$O$45</f>
        <v>-3</v>
      </c>
      <c r="T66" s="11">
        <v>1</v>
      </c>
      <c r="U66" s="3">
        <f t="shared" si="124"/>
        <v>-3</v>
      </c>
      <c r="V66" s="3" t="s">
        <v>117</v>
      </c>
      <c r="W66" s="3">
        <f>Results!$O$50</f>
        <v>9</v>
      </c>
      <c r="X66" s="11">
        <v>2</v>
      </c>
      <c r="Y66" s="3">
        <f t="shared" si="125"/>
        <v>18</v>
      </c>
      <c r="Z66" s="3" t="s">
        <v>120</v>
      </c>
      <c r="AA66" s="3">
        <f>Results!$O$55</f>
        <v>-2</v>
      </c>
      <c r="AB66" s="11"/>
      <c r="AC66" s="3">
        <f t="shared" si="126"/>
        <v>0</v>
      </c>
      <c r="AD66" s="3" t="s">
        <v>83</v>
      </c>
      <c r="AE66" s="3">
        <f>Results!$O$60</f>
        <v>6</v>
      </c>
      <c r="AF66" s="11">
        <v>1</v>
      </c>
      <c r="AG66" s="3">
        <f t="shared" si="127"/>
        <v>6</v>
      </c>
      <c r="AI66" s="3" t="s">
        <v>114</v>
      </c>
      <c r="AJ66" s="3">
        <f>Results!$O$45</f>
        <v>-3</v>
      </c>
      <c r="AK66" s="11">
        <v>1</v>
      </c>
      <c r="AL66" s="3">
        <f t="shared" si="128"/>
        <v>-3</v>
      </c>
      <c r="AM66" s="3" t="s">
        <v>117</v>
      </c>
      <c r="AN66" s="3">
        <f>Results!$O$50</f>
        <v>9</v>
      </c>
      <c r="AO66" s="11">
        <v>2</v>
      </c>
      <c r="AP66" s="3">
        <f t="shared" si="129"/>
        <v>18</v>
      </c>
      <c r="AQ66" s="3" t="s">
        <v>120</v>
      </c>
      <c r="AR66" s="3">
        <f>Results!$O$55</f>
        <v>-2</v>
      </c>
      <c r="AS66" s="11"/>
      <c r="AT66" s="3">
        <f t="shared" si="130"/>
        <v>0</v>
      </c>
      <c r="AU66" s="3" t="s">
        <v>83</v>
      </c>
      <c r="AV66" s="3">
        <f>Results!$O$60</f>
        <v>6</v>
      </c>
      <c r="AW66" s="11">
        <v>1</v>
      </c>
      <c r="AX66" s="3">
        <f t="shared" si="131"/>
        <v>6</v>
      </c>
    </row>
    <row r="67" spans="1:50" ht="13.5" customHeight="1" thickBot="1" x14ac:dyDescent="0.25">
      <c r="A67" s="19" t="s">
        <v>115</v>
      </c>
      <c r="B67" s="19">
        <f>Results!$O$46</f>
        <v>12</v>
      </c>
      <c r="C67" s="20">
        <v>2</v>
      </c>
      <c r="D67" s="19">
        <f t="shared" si="120"/>
        <v>24</v>
      </c>
      <c r="E67" s="19" t="s">
        <v>118</v>
      </c>
      <c r="F67" s="19">
        <f>Results!$O$51</f>
        <v>-1</v>
      </c>
      <c r="G67" s="20"/>
      <c r="H67" s="19">
        <f t="shared" si="121"/>
        <v>0</v>
      </c>
      <c r="I67" s="19" t="s">
        <v>121</v>
      </c>
      <c r="J67" s="19">
        <f>Results!$O$56</f>
        <v>9</v>
      </c>
      <c r="K67" s="20">
        <v>2</v>
      </c>
      <c r="L67" s="19">
        <f t="shared" si="122"/>
        <v>18</v>
      </c>
      <c r="M67" s="19" t="s">
        <v>122</v>
      </c>
      <c r="N67" s="19">
        <f>Results!$O$61</f>
        <v>-3</v>
      </c>
      <c r="O67" s="20"/>
      <c r="P67" s="19">
        <f t="shared" si="123"/>
        <v>0</v>
      </c>
      <c r="R67" s="19" t="s">
        <v>115</v>
      </c>
      <c r="S67" s="19">
        <f>Results!$O$46</f>
        <v>12</v>
      </c>
      <c r="T67" s="20">
        <v>3</v>
      </c>
      <c r="U67" s="19">
        <f t="shared" si="124"/>
        <v>36</v>
      </c>
      <c r="V67" s="19" t="s">
        <v>118</v>
      </c>
      <c r="W67" s="19">
        <f>Results!$O$51</f>
        <v>-1</v>
      </c>
      <c r="X67" s="20"/>
      <c r="Y67" s="19">
        <f t="shared" si="125"/>
        <v>0</v>
      </c>
      <c r="Z67" s="19" t="s">
        <v>121</v>
      </c>
      <c r="AA67" s="19">
        <f>Results!$O$56</f>
        <v>9</v>
      </c>
      <c r="AB67" s="20">
        <v>2</v>
      </c>
      <c r="AC67" s="19">
        <f t="shared" si="126"/>
        <v>18</v>
      </c>
      <c r="AD67" s="19" t="s">
        <v>122</v>
      </c>
      <c r="AE67" s="19">
        <f>Results!$O$61</f>
        <v>-3</v>
      </c>
      <c r="AF67" s="20"/>
      <c r="AG67" s="19">
        <f t="shared" si="127"/>
        <v>0</v>
      </c>
      <c r="AI67" s="19" t="s">
        <v>115</v>
      </c>
      <c r="AJ67" s="19">
        <f>Results!$O$46</f>
        <v>12</v>
      </c>
      <c r="AK67" s="20">
        <v>3</v>
      </c>
      <c r="AL67" s="19">
        <f t="shared" si="128"/>
        <v>36</v>
      </c>
      <c r="AM67" s="19" t="s">
        <v>118</v>
      </c>
      <c r="AN67" s="19">
        <f>Results!$O$51</f>
        <v>-1</v>
      </c>
      <c r="AO67" s="20"/>
      <c r="AP67" s="19">
        <f t="shared" si="129"/>
        <v>0</v>
      </c>
      <c r="AQ67" s="19" t="s">
        <v>121</v>
      </c>
      <c r="AR67" s="19">
        <f>Results!$O$56</f>
        <v>9</v>
      </c>
      <c r="AS67" s="20">
        <v>2</v>
      </c>
      <c r="AT67" s="19">
        <f t="shared" si="130"/>
        <v>18</v>
      </c>
      <c r="AU67" s="19" t="s">
        <v>122</v>
      </c>
      <c r="AV67" s="19">
        <f>Results!$O$61</f>
        <v>-3</v>
      </c>
      <c r="AW67" s="20"/>
      <c r="AX67" s="19">
        <f t="shared" si="131"/>
        <v>0</v>
      </c>
    </row>
    <row r="68" spans="1:50" s="27" customFormat="1" ht="13.5" customHeight="1" thickBot="1" x14ac:dyDescent="0.25">
      <c r="A68" s="28"/>
      <c r="B68" s="28"/>
      <c r="C68" s="29"/>
      <c r="D68" s="28"/>
      <c r="E68" s="28"/>
      <c r="F68" s="28"/>
      <c r="G68" s="29"/>
      <c r="H68" s="28"/>
      <c r="I68" s="28"/>
      <c r="J68" s="28"/>
      <c r="K68" s="29"/>
      <c r="L68" s="28"/>
      <c r="M68" s="28"/>
      <c r="N68" s="28"/>
      <c r="O68" s="29"/>
      <c r="P68" s="30"/>
      <c r="R68" s="28"/>
      <c r="S68" s="28"/>
      <c r="T68" s="29"/>
      <c r="U68" s="28"/>
      <c r="V68" s="28"/>
      <c r="W68" s="28"/>
      <c r="X68" s="29"/>
      <c r="Y68" s="28"/>
      <c r="Z68" s="28"/>
      <c r="AA68" s="28"/>
      <c r="AB68" s="29"/>
      <c r="AC68" s="28"/>
      <c r="AD68" s="28"/>
      <c r="AE68" s="28"/>
      <c r="AF68" s="29"/>
      <c r="AG68" s="30"/>
      <c r="AI68" s="28"/>
      <c r="AJ68" s="28"/>
      <c r="AK68" s="29"/>
      <c r="AL68" s="28"/>
      <c r="AM68" s="28"/>
      <c r="AN68" s="28"/>
      <c r="AO68" s="29"/>
      <c r="AP68" s="28"/>
      <c r="AQ68" s="28"/>
      <c r="AR68" s="28"/>
      <c r="AS68" s="29"/>
      <c r="AT68" s="28"/>
      <c r="AU68" s="28"/>
      <c r="AV68" s="28"/>
      <c r="AW68" s="29"/>
      <c r="AX68" s="30"/>
    </row>
    <row r="69" spans="1:50" ht="13.5" customHeight="1" x14ac:dyDescent="0.2">
      <c r="A69" s="12" t="s">
        <v>0</v>
      </c>
      <c r="B69" s="59" t="s">
        <v>128</v>
      </c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13" t="s">
        <v>50</v>
      </c>
      <c r="N69" s="61">
        <f>SUM(D71:D74,D76:D79,H71:H74, H76:H79,L71:L74,L76:L79,P71:P74,P76:P79,D81:D84,H81:H84,L81:L84,P81:P84)</f>
        <v>374</v>
      </c>
      <c r="O69" s="60"/>
      <c r="P69" s="62"/>
      <c r="R69" s="12" t="s">
        <v>0</v>
      </c>
      <c r="S69" s="59" t="s">
        <v>93</v>
      </c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13" t="s">
        <v>50</v>
      </c>
      <c r="AE69" s="61">
        <f>SUM(U71:U74,U76:U79,Y71:Y74, Y76:Y79,AC71:AC74,AC76:AC79,AG71:AG74,AG76:AG79,U81:U84,Y81:Y84,AC81:AC84,AG81:AG84)</f>
        <v>414</v>
      </c>
      <c r="AF69" s="60"/>
      <c r="AG69" s="62"/>
      <c r="AI69" s="12" t="s">
        <v>0</v>
      </c>
      <c r="AJ69" s="59" t="s">
        <v>147</v>
      </c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13" t="s">
        <v>50</v>
      </c>
      <c r="AV69" s="61">
        <f>SUM(AL71:AL74,AL76:AL79,AP71:AP74, AP76:AP79,AT71:AT74,AT76:AT79,AX71:AX74,AX76:AX79,AL81:AL84,AP81:AP84,AT81:AT84,AX81:AX84)</f>
        <v>382</v>
      </c>
      <c r="AW69" s="60"/>
      <c r="AX69" s="62"/>
    </row>
    <row r="70" spans="1:50" ht="13.5" customHeight="1" x14ac:dyDescent="0.2">
      <c r="A70" s="14" t="s">
        <v>3</v>
      </c>
      <c r="B70" s="15" t="s">
        <v>51</v>
      </c>
      <c r="C70" s="16" t="s">
        <v>21</v>
      </c>
      <c r="D70" s="15" t="s">
        <v>49</v>
      </c>
      <c r="E70" s="15" t="s">
        <v>6</v>
      </c>
      <c r="F70" s="15" t="s">
        <v>51</v>
      </c>
      <c r="G70" s="16" t="s">
        <v>21</v>
      </c>
      <c r="H70" s="15" t="s">
        <v>49</v>
      </c>
      <c r="I70" s="15" t="s">
        <v>7</v>
      </c>
      <c r="J70" s="15" t="s">
        <v>51</v>
      </c>
      <c r="K70" s="16" t="s">
        <v>21</v>
      </c>
      <c r="L70" s="15" t="s">
        <v>49</v>
      </c>
      <c r="M70" s="15" t="s">
        <v>13</v>
      </c>
      <c r="N70" s="15" t="s">
        <v>51</v>
      </c>
      <c r="O70" s="16" t="s">
        <v>21</v>
      </c>
      <c r="P70" s="17" t="s">
        <v>49</v>
      </c>
      <c r="R70" s="14" t="s">
        <v>3</v>
      </c>
      <c r="S70" s="15" t="s">
        <v>51</v>
      </c>
      <c r="T70" s="16" t="s">
        <v>21</v>
      </c>
      <c r="U70" s="15" t="s">
        <v>49</v>
      </c>
      <c r="V70" s="15" t="s">
        <v>6</v>
      </c>
      <c r="W70" s="15" t="s">
        <v>51</v>
      </c>
      <c r="X70" s="16" t="s">
        <v>21</v>
      </c>
      <c r="Y70" s="15" t="s">
        <v>49</v>
      </c>
      <c r="Z70" s="15" t="s">
        <v>7</v>
      </c>
      <c r="AA70" s="15" t="s">
        <v>51</v>
      </c>
      <c r="AB70" s="16" t="s">
        <v>21</v>
      </c>
      <c r="AC70" s="15" t="s">
        <v>49</v>
      </c>
      <c r="AD70" s="15" t="s">
        <v>13</v>
      </c>
      <c r="AE70" s="15" t="s">
        <v>51</v>
      </c>
      <c r="AF70" s="16" t="s">
        <v>21</v>
      </c>
      <c r="AG70" s="17" t="s">
        <v>49</v>
      </c>
      <c r="AI70" s="14" t="s">
        <v>3</v>
      </c>
      <c r="AJ70" s="15" t="s">
        <v>51</v>
      </c>
      <c r="AK70" s="16" t="s">
        <v>21</v>
      </c>
      <c r="AL70" s="15" t="s">
        <v>49</v>
      </c>
      <c r="AM70" s="15" t="s">
        <v>6</v>
      </c>
      <c r="AN70" s="15" t="s">
        <v>51</v>
      </c>
      <c r="AO70" s="16" t="s">
        <v>21</v>
      </c>
      <c r="AP70" s="15" t="s">
        <v>49</v>
      </c>
      <c r="AQ70" s="15" t="s">
        <v>7</v>
      </c>
      <c r="AR70" s="15" t="s">
        <v>51</v>
      </c>
      <c r="AS70" s="16" t="s">
        <v>21</v>
      </c>
      <c r="AT70" s="15" t="s">
        <v>49</v>
      </c>
      <c r="AU70" s="15" t="s">
        <v>13</v>
      </c>
      <c r="AV70" s="15" t="s">
        <v>51</v>
      </c>
      <c r="AW70" s="16" t="s">
        <v>21</v>
      </c>
      <c r="AX70" s="17" t="s">
        <v>49</v>
      </c>
    </row>
    <row r="71" spans="1:50" ht="13.5" customHeight="1" x14ac:dyDescent="0.2">
      <c r="A71" s="3" t="s">
        <v>71</v>
      </c>
      <c r="B71" s="3">
        <f>Results!$O$3</f>
        <v>3</v>
      </c>
      <c r="C71" s="11">
        <v>5</v>
      </c>
      <c r="D71" s="3">
        <f t="shared" ref="D71:D74" si="132">B71*C71</f>
        <v>15</v>
      </c>
      <c r="E71" s="3" t="s">
        <v>76</v>
      </c>
      <c r="F71" s="3">
        <f>Results!$O$8</f>
        <v>2</v>
      </c>
      <c r="G71" s="11">
        <v>2</v>
      </c>
      <c r="H71" s="3">
        <f t="shared" ref="H71:H74" si="133">F71*G71</f>
        <v>4</v>
      </c>
      <c r="I71" s="3" t="s">
        <v>80</v>
      </c>
      <c r="J71" s="3">
        <f>Results!$O$13</f>
        <v>2</v>
      </c>
      <c r="K71" s="11">
        <v>3</v>
      </c>
      <c r="L71" s="3">
        <f t="shared" ref="L71:L74" si="134">J71*K71</f>
        <v>6</v>
      </c>
      <c r="M71" s="3" t="s">
        <v>68</v>
      </c>
      <c r="N71" s="3">
        <f>Results!$O$18</f>
        <v>11</v>
      </c>
      <c r="O71" s="11">
        <v>3</v>
      </c>
      <c r="P71" s="18">
        <f>N71*O71</f>
        <v>33</v>
      </c>
      <c r="R71" s="3" t="s">
        <v>71</v>
      </c>
      <c r="S71" s="3">
        <f>Results!$O$3</f>
        <v>3</v>
      </c>
      <c r="T71" s="11">
        <v>3</v>
      </c>
      <c r="U71" s="3">
        <f t="shared" ref="U71:U74" si="135">S71*T71</f>
        <v>9</v>
      </c>
      <c r="V71" s="3" t="s">
        <v>76</v>
      </c>
      <c r="W71" s="3">
        <f>Results!$O$8</f>
        <v>2</v>
      </c>
      <c r="X71" s="11">
        <v>2</v>
      </c>
      <c r="Y71" s="3">
        <f t="shared" ref="Y71:Y74" si="136">W71*X71</f>
        <v>4</v>
      </c>
      <c r="Z71" s="3" t="s">
        <v>80</v>
      </c>
      <c r="AA71" s="3">
        <f>Results!$O$13</f>
        <v>2</v>
      </c>
      <c r="AB71" s="11">
        <v>3</v>
      </c>
      <c r="AC71" s="3">
        <f t="shared" ref="AC71:AC74" si="137">AA71*AB71</f>
        <v>6</v>
      </c>
      <c r="AD71" s="3" t="s">
        <v>68</v>
      </c>
      <c r="AE71" s="3">
        <f>Results!$O$18</f>
        <v>11</v>
      </c>
      <c r="AF71" s="11">
        <v>3</v>
      </c>
      <c r="AG71" s="18">
        <f>AE71*AF71</f>
        <v>33</v>
      </c>
      <c r="AI71" s="3" t="s">
        <v>71</v>
      </c>
      <c r="AJ71" s="3">
        <f>Results!$O$3</f>
        <v>3</v>
      </c>
      <c r="AK71" s="11">
        <v>2</v>
      </c>
      <c r="AL71" s="3">
        <f t="shared" ref="AL71:AL74" si="138">AJ71*AK71</f>
        <v>6</v>
      </c>
      <c r="AM71" s="3" t="s">
        <v>76</v>
      </c>
      <c r="AN71" s="3">
        <f>Results!$O$8</f>
        <v>2</v>
      </c>
      <c r="AO71" s="11">
        <v>3</v>
      </c>
      <c r="AP71" s="3">
        <f t="shared" ref="AP71:AP74" si="139">AN71*AO71</f>
        <v>6</v>
      </c>
      <c r="AQ71" s="3" t="s">
        <v>80</v>
      </c>
      <c r="AR71" s="3">
        <f>Results!$O$13</f>
        <v>2</v>
      </c>
      <c r="AS71" s="11">
        <v>3</v>
      </c>
      <c r="AT71" s="3">
        <f t="shared" ref="AT71:AT74" si="140">AR71*AS71</f>
        <v>6</v>
      </c>
      <c r="AU71" s="3" t="s">
        <v>68</v>
      </c>
      <c r="AV71" s="3">
        <f>Results!$O$18</f>
        <v>11</v>
      </c>
      <c r="AW71" s="11">
        <v>1</v>
      </c>
      <c r="AX71" s="18">
        <f>AV71*AW71</f>
        <v>11</v>
      </c>
    </row>
    <row r="72" spans="1:50" ht="13.5" customHeight="1" x14ac:dyDescent="0.2">
      <c r="A72" s="3" t="s">
        <v>123</v>
      </c>
      <c r="B72" s="3">
        <f>Results!$O$4</f>
        <v>-14</v>
      </c>
      <c r="C72" s="11">
        <v>1</v>
      </c>
      <c r="D72" s="3">
        <f t="shared" si="132"/>
        <v>-14</v>
      </c>
      <c r="E72" s="3" t="s">
        <v>103</v>
      </c>
      <c r="F72" s="3">
        <f>Results!$O$9</f>
        <v>1</v>
      </c>
      <c r="G72" s="11">
        <v>1</v>
      </c>
      <c r="H72" s="3">
        <f t="shared" si="133"/>
        <v>1</v>
      </c>
      <c r="I72" s="3" t="s">
        <v>77</v>
      </c>
      <c r="J72" s="3">
        <f>Results!$O$14</f>
        <v>4</v>
      </c>
      <c r="K72" s="11">
        <v>2</v>
      </c>
      <c r="L72" s="3">
        <f t="shared" si="134"/>
        <v>8</v>
      </c>
      <c r="M72" s="3" t="s">
        <v>106</v>
      </c>
      <c r="N72" s="3">
        <f>Results!$O$19</f>
        <v>-7</v>
      </c>
      <c r="O72" s="11"/>
      <c r="P72" s="18">
        <f>N72*O72</f>
        <v>0</v>
      </c>
      <c r="R72" s="3" t="s">
        <v>123</v>
      </c>
      <c r="S72" s="3">
        <f>Results!$O$4</f>
        <v>-14</v>
      </c>
      <c r="T72" s="11"/>
      <c r="U72" s="3">
        <f t="shared" si="135"/>
        <v>0</v>
      </c>
      <c r="V72" s="3" t="s">
        <v>103</v>
      </c>
      <c r="W72" s="3">
        <f>Results!$O$9</f>
        <v>1</v>
      </c>
      <c r="X72" s="11">
        <v>1</v>
      </c>
      <c r="Y72" s="3">
        <f t="shared" si="136"/>
        <v>1</v>
      </c>
      <c r="Z72" s="3" t="s">
        <v>77</v>
      </c>
      <c r="AA72" s="3">
        <f>Results!$O$14</f>
        <v>4</v>
      </c>
      <c r="AB72" s="11">
        <v>2</v>
      </c>
      <c r="AC72" s="3">
        <f t="shared" si="137"/>
        <v>8</v>
      </c>
      <c r="AD72" s="3" t="s">
        <v>106</v>
      </c>
      <c r="AE72" s="3">
        <f>Results!$O$19</f>
        <v>-7</v>
      </c>
      <c r="AF72" s="11"/>
      <c r="AG72" s="18">
        <f>AE72*AF72</f>
        <v>0</v>
      </c>
      <c r="AI72" s="3" t="s">
        <v>123</v>
      </c>
      <c r="AJ72" s="3">
        <f>Results!$O$4</f>
        <v>-14</v>
      </c>
      <c r="AK72" s="11"/>
      <c r="AL72" s="3">
        <f t="shared" si="138"/>
        <v>0</v>
      </c>
      <c r="AM72" s="3" t="s">
        <v>103</v>
      </c>
      <c r="AN72" s="3">
        <f>Results!$O$9</f>
        <v>1</v>
      </c>
      <c r="AO72" s="11">
        <v>1</v>
      </c>
      <c r="AP72" s="3">
        <f t="shared" si="139"/>
        <v>1</v>
      </c>
      <c r="AQ72" s="3" t="s">
        <v>77</v>
      </c>
      <c r="AR72" s="3">
        <f>Results!$O$14</f>
        <v>4</v>
      </c>
      <c r="AS72" s="11">
        <v>1</v>
      </c>
      <c r="AT72" s="3">
        <f t="shared" si="140"/>
        <v>4</v>
      </c>
      <c r="AU72" s="3" t="s">
        <v>106</v>
      </c>
      <c r="AV72" s="3">
        <f>Results!$O$19</f>
        <v>-7</v>
      </c>
      <c r="AW72" s="11"/>
      <c r="AX72" s="18">
        <f>AV72*AW72</f>
        <v>0</v>
      </c>
    </row>
    <row r="73" spans="1:50" ht="13.5" customHeight="1" x14ac:dyDescent="0.2">
      <c r="A73" s="3" t="s">
        <v>124</v>
      </c>
      <c r="B73" s="3">
        <f>Results!$O$5</f>
        <v>7</v>
      </c>
      <c r="C73" s="11">
        <v>3</v>
      </c>
      <c r="D73" s="3">
        <f t="shared" si="132"/>
        <v>21</v>
      </c>
      <c r="E73" s="3" t="s">
        <v>65</v>
      </c>
      <c r="F73" s="3">
        <f>Results!$O$10</f>
        <v>2</v>
      </c>
      <c r="G73" s="11"/>
      <c r="H73" s="3">
        <f t="shared" si="133"/>
        <v>0</v>
      </c>
      <c r="I73" s="3" t="s">
        <v>104</v>
      </c>
      <c r="J73" s="3">
        <f>Results!$O$15</f>
        <v>-2</v>
      </c>
      <c r="K73" s="11"/>
      <c r="L73" s="3">
        <f t="shared" si="134"/>
        <v>0</v>
      </c>
      <c r="M73" s="3" t="s">
        <v>72</v>
      </c>
      <c r="N73" s="3">
        <f>Results!$O$20</f>
        <v>9</v>
      </c>
      <c r="O73" s="11">
        <v>2</v>
      </c>
      <c r="P73" s="18">
        <f>N73*O73</f>
        <v>18</v>
      </c>
      <c r="R73" s="3" t="s">
        <v>124</v>
      </c>
      <c r="S73" s="3">
        <f>Results!$O$5</f>
        <v>7</v>
      </c>
      <c r="T73" s="11">
        <v>2</v>
      </c>
      <c r="U73" s="3">
        <f t="shared" si="135"/>
        <v>14</v>
      </c>
      <c r="V73" s="3" t="s">
        <v>65</v>
      </c>
      <c r="W73" s="3">
        <f>Results!$O$10</f>
        <v>2</v>
      </c>
      <c r="X73" s="11"/>
      <c r="Y73" s="3">
        <f t="shared" si="136"/>
        <v>0</v>
      </c>
      <c r="Z73" s="3" t="s">
        <v>104</v>
      </c>
      <c r="AA73" s="3">
        <f>Results!$O$15</f>
        <v>-2</v>
      </c>
      <c r="AB73" s="11"/>
      <c r="AC73" s="3">
        <f t="shared" si="137"/>
        <v>0</v>
      </c>
      <c r="AD73" s="3" t="s">
        <v>72</v>
      </c>
      <c r="AE73" s="3">
        <f>Results!$O$20</f>
        <v>9</v>
      </c>
      <c r="AF73" s="11">
        <v>1</v>
      </c>
      <c r="AG73" s="18">
        <f>AE73*AF73</f>
        <v>9</v>
      </c>
      <c r="AI73" s="3" t="s">
        <v>124</v>
      </c>
      <c r="AJ73" s="3">
        <f>Results!$O$5</f>
        <v>7</v>
      </c>
      <c r="AK73" s="11">
        <v>1</v>
      </c>
      <c r="AL73" s="3">
        <f t="shared" si="138"/>
        <v>7</v>
      </c>
      <c r="AM73" s="3" t="s">
        <v>65</v>
      </c>
      <c r="AN73" s="3">
        <f>Results!$O$10</f>
        <v>2</v>
      </c>
      <c r="AO73" s="11"/>
      <c r="AP73" s="3">
        <f t="shared" si="139"/>
        <v>0</v>
      </c>
      <c r="AQ73" s="3" t="s">
        <v>104</v>
      </c>
      <c r="AR73" s="3">
        <f>Results!$O$15</f>
        <v>-2</v>
      </c>
      <c r="AS73" s="11"/>
      <c r="AT73" s="3">
        <f t="shared" si="140"/>
        <v>0</v>
      </c>
      <c r="AU73" s="3" t="s">
        <v>72</v>
      </c>
      <c r="AV73" s="3">
        <f>Results!$O$20</f>
        <v>9</v>
      </c>
      <c r="AW73" s="11">
        <v>2</v>
      </c>
      <c r="AX73" s="18">
        <f>AV73*AW73</f>
        <v>18</v>
      </c>
    </row>
    <row r="74" spans="1:50" ht="13.5" customHeight="1" x14ac:dyDescent="0.2">
      <c r="A74" s="3" t="s">
        <v>102</v>
      </c>
      <c r="B74" s="3">
        <f>Results!$O$6</f>
        <v>0</v>
      </c>
      <c r="C74" s="11">
        <v>2</v>
      </c>
      <c r="D74" s="3">
        <f t="shared" si="132"/>
        <v>0</v>
      </c>
      <c r="E74" s="3" t="s">
        <v>12</v>
      </c>
      <c r="F74" s="3">
        <f>Results!$O$11</f>
        <v>3</v>
      </c>
      <c r="G74" s="11">
        <v>3</v>
      </c>
      <c r="H74" s="3">
        <f t="shared" si="133"/>
        <v>9</v>
      </c>
      <c r="I74" s="3" t="s">
        <v>105</v>
      </c>
      <c r="J74" s="3">
        <f>Results!$O$16</f>
        <v>4</v>
      </c>
      <c r="K74" s="11">
        <v>1</v>
      </c>
      <c r="L74" s="3">
        <f t="shared" si="134"/>
        <v>4</v>
      </c>
      <c r="M74" s="3" t="s">
        <v>107</v>
      </c>
      <c r="N74" s="3">
        <f>Results!$O$21</f>
        <v>-3</v>
      </c>
      <c r="O74" s="11">
        <v>1</v>
      </c>
      <c r="P74" s="18">
        <f>N74*O74</f>
        <v>-3</v>
      </c>
      <c r="R74" s="3" t="s">
        <v>102</v>
      </c>
      <c r="S74" s="3">
        <f>Results!$O$6</f>
        <v>0</v>
      </c>
      <c r="T74" s="11">
        <v>1</v>
      </c>
      <c r="U74" s="3">
        <f t="shared" si="135"/>
        <v>0</v>
      </c>
      <c r="V74" s="3" t="s">
        <v>12</v>
      </c>
      <c r="W74" s="3">
        <f>Results!$O$11</f>
        <v>3</v>
      </c>
      <c r="X74" s="11">
        <v>3</v>
      </c>
      <c r="Y74" s="3">
        <f t="shared" si="136"/>
        <v>9</v>
      </c>
      <c r="Z74" s="3" t="s">
        <v>105</v>
      </c>
      <c r="AA74" s="3">
        <f>Results!$O$16</f>
        <v>4</v>
      </c>
      <c r="AB74" s="11">
        <v>1</v>
      </c>
      <c r="AC74" s="3">
        <f t="shared" si="137"/>
        <v>4</v>
      </c>
      <c r="AD74" s="3" t="s">
        <v>107</v>
      </c>
      <c r="AE74" s="3">
        <f>Results!$O$21</f>
        <v>-3</v>
      </c>
      <c r="AF74" s="11">
        <v>2</v>
      </c>
      <c r="AG74" s="18">
        <f>AE74*AF74</f>
        <v>-6</v>
      </c>
      <c r="AI74" s="3" t="s">
        <v>102</v>
      </c>
      <c r="AJ74" s="3">
        <f>Results!$O$6</f>
        <v>0</v>
      </c>
      <c r="AK74" s="11">
        <v>3</v>
      </c>
      <c r="AL74" s="3">
        <f t="shared" si="138"/>
        <v>0</v>
      </c>
      <c r="AM74" s="3" t="s">
        <v>12</v>
      </c>
      <c r="AN74" s="3">
        <f>Results!$O$11</f>
        <v>3</v>
      </c>
      <c r="AO74" s="11">
        <v>2</v>
      </c>
      <c r="AP74" s="3">
        <f t="shared" si="139"/>
        <v>6</v>
      </c>
      <c r="AQ74" s="3" t="s">
        <v>105</v>
      </c>
      <c r="AR74" s="3">
        <f>Results!$O$16</f>
        <v>4</v>
      </c>
      <c r="AS74" s="11">
        <v>2</v>
      </c>
      <c r="AT74" s="3">
        <f t="shared" si="140"/>
        <v>8</v>
      </c>
      <c r="AU74" s="3" t="s">
        <v>107</v>
      </c>
      <c r="AV74" s="3">
        <f>Results!$O$21</f>
        <v>-3</v>
      </c>
      <c r="AW74" s="11">
        <v>3</v>
      </c>
      <c r="AX74" s="18">
        <f>AV74*AW74</f>
        <v>-9</v>
      </c>
    </row>
    <row r="75" spans="1:50" ht="13.5" customHeight="1" x14ac:dyDescent="0.2">
      <c r="A75" s="14" t="s">
        <v>14</v>
      </c>
      <c r="B75" s="15" t="s">
        <v>51</v>
      </c>
      <c r="C75" s="16" t="s">
        <v>21</v>
      </c>
      <c r="D75" s="15" t="s">
        <v>49</v>
      </c>
      <c r="E75" s="15" t="s">
        <v>15</v>
      </c>
      <c r="F75" s="15" t="s">
        <v>51</v>
      </c>
      <c r="G75" s="16" t="s">
        <v>21</v>
      </c>
      <c r="H75" s="15" t="s">
        <v>49</v>
      </c>
      <c r="I75" s="15" t="s">
        <v>78</v>
      </c>
      <c r="J75" s="15" t="s">
        <v>51</v>
      </c>
      <c r="K75" s="16" t="s">
        <v>21</v>
      </c>
      <c r="L75" s="15" t="s">
        <v>49</v>
      </c>
      <c r="M75" s="15" t="s">
        <v>79</v>
      </c>
      <c r="N75" s="15" t="s">
        <v>51</v>
      </c>
      <c r="O75" s="16" t="s">
        <v>21</v>
      </c>
      <c r="P75" s="15" t="s">
        <v>49</v>
      </c>
      <c r="R75" s="14" t="s">
        <v>14</v>
      </c>
      <c r="S75" s="15" t="s">
        <v>51</v>
      </c>
      <c r="T75" s="16" t="s">
        <v>21</v>
      </c>
      <c r="U75" s="15" t="s">
        <v>49</v>
      </c>
      <c r="V75" s="15" t="s">
        <v>15</v>
      </c>
      <c r="W75" s="15" t="s">
        <v>51</v>
      </c>
      <c r="X75" s="16" t="s">
        <v>21</v>
      </c>
      <c r="Y75" s="15" t="s">
        <v>49</v>
      </c>
      <c r="Z75" s="15" t="s">
        <v>78</v>
      </c>
      <c r="AA75" s="15" t="s">
        <v>51</v>
      </c>
      <c r="AB75" s="16" t="s">
        <v>21</v>
      </c>
      <c r="AC75" s="15" t="s">
        <v>49</v>
      </c>
      <c r="AD75" s="15" t="s">
        <v>79</v>
      </c>
      <c r="AE75" s="15" t="s">
        <v>51</v>
      </c>
      <c r="AF75" s="16" t="s">
        <v>21</v>
      </c>
      <c r="AG75" s="15" t="s">
        <v>49</v>
      </c>
      <c r="AI75" s="14" t="s">
        <v>14</v>
      </c>
      <c r="AJ75" s="15" t="s">
        <v>51</v>
      </c>
      <c r="AK75" s="16" t="s">
        <v>21</v>
      </c>
      <c r="AL75" s="15" t="s">
        <v>49</v>
      </c>
      <c r="AM75" s="15" t="s">
        <v>15</v>
      </c>
      <c r="AN75" s="15" t="s">
        <v>51</v>
      </c>
      <c r="AO75" s="16" t="s">
        <v>21</v>
      </c>
      <c r="AP75" s="15" t="s">
        <v>49</v>
      </c>
      <c r="AQ75" s="15" t="s">
        <v>78</v>
      </c>
      <c r="AR75" s="15" t="s">
        <v>51</v>
      </c>
      <c r="AS75" s="16" t="s">
        <v>21</v>
      </c>
      <c r="AT75" s="15" t="s">
        <v>49</v>
      </c>
      <c r="AU75" s="15" t="s">
        <v>79</v>
      </c>
      <c r="AV75" s="15" t="s">
        <v>51</v>
      </c>
      <c r="AW75" s="16" t="s">
        <v>21</v>
      </c>
      <c r="AX75" s="15" t="s">
        <v>49</v>
      </c>
    </row>
    <row r="76" spans="1:50" ht="13.5" customHeight="1" x14ac:dyDescent="0.2">
      <c r="A76" s="3" t="s">
        <v>11</v>
      </c>
      <c r="B76" s="3">
        <f>Results!$O$23</f>
        <v>18</v>
      </c>
      <c r="C76" s="11">
        <v>3</v>
      </c>
      <c r="D76" s="3">
        <f t="shared" ref="D76:D79" si="141">B76*C76</f>
        <v>54</v>
      </c>
      <c r="E76" s="3" t="s">
        <v>57</v>
      </c>
      <c r="F76" s="3">
        <f>Results!$O$28</f>
        <v>2</v>
      </c>
      <c r="G76" s="11">
        <v>3</v>
      </c>
      <c r="H76" s="3">
        <f t="shared" ref="H76:H79" si="142">F76*G76</f>
        <v>6</v>
      </c>
      <c r="I76" s="3" t="s">
        <v>18</v>
      </c>
      <c r="J76" s="3">
        <f>Results!$O$33</f>
        <v>2</v>
      </c>
      <c r="K76" s="11">
        <v>3</v>
      </c>
      <c r="L76" s="3">
        <f t="shared" ref="L76:L79" si="143">J76*K76</f>
        <v>6</v>
      </c>
      <c r="M76" s="3" t="s">
        <v>17</v>
      </c>
      <c r="N76" s="3">
        <f>Results!$O$38</f>
        <v>2</v>
      </c>
      <c r="O76" s="11">
        <v>3</v>
      </c>
      <c r="P76" s="3">
        <f t="shared" ref="P76:P79" si="144">N76*O76</f>
        <v>6</v>
      </c>
      <c r="R76" s="3" t="s">
        <v>11</v>
      </c>
      <c r="S76" s="3">
        <f>Results!$O$23</f>
        <v>18</v>
      </c>
      <c r="T76" s="11">
        <v>3</v>
      </c>
      <c r="U76" s="3">
        <f t="shared" ref="U76:U79" si="145">S76*T76</f>
        <v>54</v>
      </c>
      <c r="V76" s="3" t="s">
        <v>57</v>
      </c>
      <c r="W76" s="3">
        <f>Results!$O$28</f>
        <v>2</v>
      </c>
      <c r="X76" s="11">
        <v>3</v>
      </c>
      <c r="Y76" s="3">
        <f t="shared" ref="Y76:Y79" si="146">W76*X76</f>
        <v>6</v>
      </c>
      <c r="Z76" s="3" t="s">
        <v>18</v>
      </c>
      <c r="AA76" s="3">
        <f>Results!$O$33</f>
        <v>2</v>
      </c>
      <c r="AB76" s="11">
        <v>3</v>
      </c>
      <c r="AC76" s="3">
        <f t="shared" ref="AC76:AC79" si="147">AA76*AB76</f>
        <v>6</v>
      </c>
      <c r="AD76" s="3" t="s">
        <v>17</v>
      </c>
      <c r="AE76" s="3">
        <f>Results!$O$38</f>
        <v>2</v>
      </c>
      <c r="AF76" s="11">
        <v>3</v>
      </c>
      <c r="AG76" s="3">
        <f t="shared" ref="AG76:AG79" si="148">AE76*AF76</f>
        <v>6</v>
      </c>
      <c r="AI76" s="3" t="s">
        <v>11</v>
      </c>
      <c r="AJ76" s="3">
        <f>Results!$O$23</f>
        <v>18</v>
      </c>
      <c r="AK76" s="11">
        <v>3</v>
      </c>
      <c r="AL76" s="3">
        <f t="shared" ref="AL76:AL79" si="149">AJ76*AK76</f>
        <v>54</v>
      </c>
      <c r="AM76" s="3" t="s">
        <v>57</v>
      </c>
      <c r="AN76" s="3">
        <f>Results!$O$28</f>
        <v>2</v>
      </c>
      <c r="AO76" s="11">
        <v>3</v>
      </c>
      <c r="AP76" s="3">
        <f t="shared" ref="AP76:AP79" si="150">AN76*AO76</f>
        <v>6</v>
      </c>
      <c r="AQ76" s="3" t="s">
        <v>18</v>
      </c>
      <c r="AR76" s="3">
        <f>Results!$O$33</f>
        <v>2</v>
      </c>
      <c r="AS76" s="11">
        <v>3</v>
      </c>
      <c r="AT76" s="3">
        <f t="shared" ref="AT76:AT79" si="151">AR76*AS76</f>
        <v>6</v>
      </c>
      <c r="AU76" s="3" t="s">
        <v>17</v>
      </c>
      <c r="AV76" s="3">
        <f>Results!$O$38</f>
        <v>2</v>
      </c>
      <c r="AW76" s="11">
        <v>3</v>
      </c>
      <c r="AX76" s="3">
        <f t="shared" ref="AX76:AX79" si="152">AV76*AW76</f>
        <v>6</v>
      </c>
    </row>
    <row r="77" spans="1:50" ht="13.5" customHeight="1" x14ac:dyDescent="0.2">
      <c r="A77" s="3" t="s">
        <v>108</v>
      </c>
      <c r="B77" s="3">
        <f>Results!$O$24</f>
        <v>-5</v>
      </c>
      <c r="C77" s="11"/>
      <c r="D77" s="3">
        <f t="shared" si="141"/>
        <v>0</v>
      </c>
      <c r="E77" s="3" t="s">
        <v>75</v>
      </c>
      <c r="F77" s="3">
        <f>Results!$O$29</f>
        <v>5</v>
      </c>
      <c r="G77" s="11">
        <v>2</v>
      </c>
      <c r="H77" s="3">
        <f t="shared" si="142"/>
        <v>10</v>
      </c>
      <c r="I77" s="3" t="s">
        <v>111</v>
      </c>
      <c r="J77" s="3">
        <f>Results!$O$34</f>
        <v>2</v>
      </c>
      <c r="K77" s="11">
        <v>2</v>
      </c>
      <c r="L77" s="3">
        <f t="shared" si="143"/>
        <v>4</v>
      </c>
      <c r="M77" s="3" t="s">
        <v>113</v>
      </c>
      <c r="N77" s="3">
        <f>Results!$O$39</f>
        <v>2</v>
      </c>
      <c r="O77" s="11">
        <v>1</v>
      </c>
      <c r="P77" s="3">
        <f t="shared" si="144"/>
        <v>2</v>
      </c>
      <c r="R77" s="3" t="s">
        <v>108</v>
      </c>
      <c r="S77" s="3">
        <f>Results!$O$24</f>
        <v>-5</v>
      </c>
      <c r="T77" s="11"/>
      <c r="U77" s="3">
        <f t="shared" si="145"/>
        <v>0</v>
      </c>
      <c r="V77" s="3" t="s">
        <v>75</v>
      </c>
      <c r="W77" s="3">
        <f>Results!$O$29</f>
        <v>5</v>
      </c>
      <c r="X77" s="11">
        <v>1</v>
      </c>
      <c r="Y77" s="3">
        <f t="shared" si="146"/>
        <v>5</v>
      </c>
      <c r="Z77" s="3" t="s">
        <v>111</v>
      </c>
      <c r="AA77" s="3">
        <f>Results!$O$34</f>
        <v>2</v>
      </c>
      <c r="AB77" s="11">
        <v>2</v>
      </c>
      <c r="AC77" s="3">
        <f t="shared" si="147"/>
        <v>4</v>
      </c>
      <c r="AD77" s="3" t="s">
        <v>113</v>
      </c>
      <c r="AE77" s="3">
        <f>Results!$O$39</f>
        <v>2</v>
      </c>
      <c r="AF77" s="11"/>
      <c r="AG77" s="3">
        <f t="shared" si="148"/>
        <v>0</v>
      </c>
      <c r="AI77" s="3" t="s">
        <v>108</v>
      </c>
      <c r="AJ77" s="3">
        <f>Results!$O$24</f>
        <v>-5</v>
      </c>
      <c r="AK77" s="11"/>
      <c r="AL77" s="3">
        <f t="shared" si="149"/>
        <v>0</v>
      </c>
      <c r="AM77" s="3" t="s">
        <v>75</v>
      </c>
      <c r="AN77" s="3">
        <f>Results!$O$29</f>
        <v>5</v>
      </c>
      <c r="AO77" s="11">
        <v>1</v>
      </c>
      <c r="AP77" s="3">
        <f t="shared" si="150"/>
        <v>5</v>
      </c>
      <c r="AQ77" s="3" t="s">
        <v>111</v>
      </c>
      <c r="AR77" s="3">
        <f>Results!$O$34</f>
        <v>2</v>
      </c>
      <c r="AS77" s="11">
        <v>2</v>
      </c>
      <c r="AT77" s="3">
        <f t="shared" si="151"/>
        <v>4</v>
      </c>
      <c r="AU77" s="3" t="s">
        <v>113</v>
      </c>
      <c r="AV77" s="3">
        <f>Results!$O$39</f>
        <v>2</v>
      </c>
      <c r="AW77" s="11">
        <v>1</v>
      </c>
      <c r="AX77" s="3">
        <f t="shared" si="152"/>
        <v>2</v>
      </c>
    </row>
    <row r="78" spans="1:50" ht="13.5" customHeight="1" x14ac:dyDescent="0.2">
      <c r="A78" s="3" t="s">
        <v>109</v>
      </c>
      <c r="B78" s="3">
        <f>Results!$O$25</f>
        <v>4</v>
      </c>
      <c r="C78" s="11">
        <v>2</v>
      </c>
      <c r="D78" s="3">
        <f t="shared" si="141"/>
        <v>8</v>
      </c>
      <c r="E78" s="3" t="s">
        <v>110</v>
      </c>
      <c r="F78" s="3">
        <f>Results!$O$30</f>
        <v>14</v>
      </c>
      <c r="G78" s="11">
        <v>1</v>
      </c>
      <c r="H78" s="3">
        <f t="shared" si="142"/>
        <v>14</v>
      </c>
      <c r="I78" s="3" t="s">
        <v>67</v>
      </c>
      <c r="J78" s="3">
        <f>Results!$O$35</f>
        <v>4</v>
      </c>
      <c r="K78" s="11">
        <v>1</v>
      </c>
      <c r="L78" s="3">
        <f t="shared" si="143"/>
        <v>4</v>
      </c>
      <c r="M78" s="3" t="s">
        <v>70</v>
      </c>
      <c r="N78" s="3">
        <f>Results!$O$40</f>
        <v>3</v>
      </c>
      <c r="O78" s="11"/>
      <c r="P78" s="3">
        <f t="shared" si="144"/>
        <v>0</v>
      </c>
      <c r="R78" s="3" t="s">
        <v>109</v>
      </c>
      <c r="S78" s="3">
        <f>Results!$O$25</f>
        <v>4</v>
      </c>
      <c r="T78" s="11">
        <v>2</v>
      </c>
      <c r="U78" s="3">
        <f t="shared" si="145"/>
        <v>8</v>
      </c>
      <c r="V78" s="3" t="s">
        <v>110</v>
      </c>
      <c r="W78" s="3">
        <f>Results!$O$30</f>
        <v>14</v>
      </c>
      <c r="X78" s="11">
        <v>2</v>
      </c>
      <c r="Y78" s="3">
        <f t="shared" si="146"/>
        <v>28</v>
      </c>
      <c r="Z78" s="3" t="s">
        <v>67</v>
      </c>
      <c r="AA78" s="3">
        <f>Results!$O$35</f>
        <v>4</v>
      </c>
      <c r="AB78" s="11">
        <v>1</v>
      </c>
      <c r="AC78" s="3">
        <f t="shared" si="147"/>
        <v>4</v>
      </c>
      <c r="AD78" s="3" t="s">
        <v>70</v>
      </c>
      <c r="AE78" s="3">
        <f>Results!$O$40</f>
        <v>3</v>
      </c>
      <c r="AF78" s="11">
        <v>1</v>
      </c>
      <c r="AG78" s="3">
        <f t="shared" si="148"/>
        <v>3</v>
      </c>
      <c r="AI78" s="3" t="s">
        <v>109</v>
      </c>
      <c r="AJ78" s="3">
        <f>Results!$O$25</f>
        <v>4</v>
      </c>
      <c r="AK78" s="11">
        <v>2</v>
      </c>
      <c r="AL78" s="3">
        <f t="shared" si="149"/>
        <v>8</v>
      </c>
      <c r="AM78" s="3" t="s">
        <v>110</v>
      </c>
      <c r="AN78" s="3">
        <f>Results!$O$30</f>
        <v>14</v>
      </c>
      <c r="AO78" s="11">
        <v>2</v>
      </c>
      <c r="AP78" s="3">
        <f t="shared" si="150"/>
        <v>28</v>
      </c>
      <c r="AQ78" s="3" t="s">
        <v>67</v>
      </c>
      <c r="AR78" s="3">
        <f>Results!$O$35</f>
        <v>4</v>
      </c>
      <c r="AS78" s="11">
        <v>1</v>
      </c>
      <c r="AT78" s="3">
        <f t="shared" si="151"/>
        <v>4</v>
      </c>
      <c r="AU78" s="3" t="s">
        <v>70</v>
      </c>
      <c r="AV78" s="3">
        <f>Results!$O$40</f>
        <v>3</v>
      </c>
      <c r="AW78" s="11"/>
      <c r="AX78" s="3">
        <f t="shared" si="152"/>
        <v>0</v>
      </c>
    </row>
    <row r="79" spans="1:50" ht="13.5" customHeight="1" x14ac:dyDescent="0.2">
      <c r="A79" s="24" t="s">
        <v>91</v>
      </c>
      <c r="B79" s="24">
        <f>Results!$O$26</f>
        <v>-2</v>
      </c>
      <c r="C79" s="25">
        <v>1</v>
      </c>
      <c r="D79" s="24">
        <f t="shared" si="141"/>
        <v>-2</v>
      </c>
      <c r="E79" s="24" t="s">
        <v>73</v>
      </c>
      <c r="F79" s="24">
        <f>Results!$O$31</f>
        <v>-4</v>
      </c>
      <c r="G79" s="25"/>
      <c r="H79" s="24">
        <f t="shared" si="142"/>
        <v>0</v>
      </c>
      <c r="I79" s="24" t="s">
        <v>112</v>
      </c>
      <c r="J79" s="24">
        <f>Results!$O$36</f>
        <v>5</v>
      </c>
      <c r="K79" s="25"/>
      <c r="L79" s="24">
        <f t="shared" si="143"/>
        <v>0</v>
      </c>
      <c r="M79" s="24" t="s">
        <v>84</v>
      </c>
      <c r="N79" s="24">
        <f>Results!$O$41</f>
        <v>4</v>
      </c>
      <c r="O79" s="25">
        <v>2</v>
      </c>
      <c r="P79" s="24">
        <f t="shared" si="144"/>
        <v>8</v>
      </c>
      <c r="R79" s="24" t="s">
        <v>91</v>
      </c>
      <c r="S79" s="24">
        <f>Results!$O$26</f>
        <v>-2</v>
      </c>
      <c r="T79" s="25">
        <v>1</v>
      </c>
      <c r="U79" s="24">
        <f t="shared" si="145"/>
        <v>-2</v>
      </c>
      <c r="V79" s="24" t="s">
        <v>73</v>
      </c>
      <c r="W79" s="24">
        <f>Results!$O$31</f>
        <v>-4</v>
      </c>
      <c r="X79" s="25"/>
      <c r="Y79" s="24">
        <f t="shared" si="146"/>
        <v>0</v>
      </c>
      <c r="Z79" s="24" t="s">
        <v>112</v>
      </c>
      <c r="AA79" s="24">
        <f>Results!$O$36</f>
        <v>5</v>
      </c>
      <c r="AB79" s="25"/>
      <c r="AC79" s="24">
        <f t="shared" si="147"/>
        <v>0</v>
      </c>
      <c r="AD79" s="24" t="s">
        <v>84</v>
      </c>
      <c r="AE79" s="24">
        <f>Results!$O$41</f>
        <v>4</v>
      </c>
      <c r="AF79" s="25">
        <v>2</v>
      </c>
      <c r="AG79" s="24">
        <f t="shared" si="148"/>
        <v>8</v>
      </c>
      <c r="AI79" s="24" t="s">
        <v>91</v>
      </c>
      <c r="AJ79" s="24">
        <f>Results!$O$26</f>
        <v>-2</v>
      </c>
      <c r="AK79" s="25">
        <v>1</v>
      </c>
      <c r="AL79" s="24">
        <f t="shared" si="149"/>
        <v>-2</v>
      </c>
      <c r="AM79" s="24" t="s">
        <v>73</v>
      </c>
      <c r="AN79" s="24">
        <f>Results!$O$31</f>
        <v>-4</v>
      </c>
      <c r="AO79" s="25"/>
      <c r="AP79" s="24">
        <f t="shared" si="150"/>
        <v>0</v>
      </c>
      <c r="AQ79" s="24" t="s">
        <v>112</v>
      </c>
      <c r="AR79" s="24">
        <f>Results!$O$36</f>
        <v>5</v>
      </c>
      <c r="AS79" s="25"/>
      <c r="AT79" s="24">
        <f t="shared" si="151"/>
        <v>0</v>
      </c>
      <c r="AU79" s="24" t="s">
        <v>84</v>
      </c>
      <c r="AV79" s="24">
        <f>Results!$O$41</f>
        <v>4</v>
      </c>
      <c r="AW79" s="25">
        <v>2</v>
      </c>
      <c r="AX79" s="24">
        <f t="shared" si="152"/>
        <v>8</v>
      </c>
    </row>
    <row r="80" spans="1:50" ht="13.5" customHeight="1" x14ac:dyDescent="0.2">
      <c r="A80" s="14" t="s">
        <v>97</v>
      </c>
      <c r="B80" s="15" t="s">
        <v>51</v>
      </c>
      <c r="C80" s="16" t="s">
        <v>21</v>
      </c>
      <c r="D80" s="15" t="s">
        <v>49</v>
      </c>
      <c r="E80" s="15" t="s">
        <v>98</v>
      </c>
      <c r="F80" s="15" t="s">
        <v>51</v>
      </c>
      <c r="G80" s="16" t="s">
        <v>21</v>
      </c>
      <c r="H80" s="15" t="s">
        <v>49</v>
      </c>
      <c r="I80" s="15" t="s">
        <v>99</v>
      </c>
      <c r="J80" s="15" t="s">
        <v>51</v>
      </c>
      <c r="K80" s="16" t="s">
        <v>21</v>
      </c>
      <c r="L80" s="15" t="s">
        <v>49</v>
      </c>
      <c r="M80" s="15" t="s">
        <v>100</v>
      </c>
      <c r="N80" s="15" t="s">
        <v>51</v>
      </c>
      <c r="O80" s="16" t="s">
        <v>21</v>
      </c>
      <c r="P80" s="15" t="s">
        <v>49</v>
      </c>
      <c r="R80" s="14" t="s">
        <v>97</v>
      </c>
      <c r="S80" s="15" t="s">
        <v>51</v>
      </c>
      <c r="T80" s="16" t="s">
        <v>21</v>
      </c>
      <c r="U80" s="15" t="s">
        <v>49</v>
      </c>
      <c r="V80" s="15" t="s">
        <v>98</v>
      </c>
      <c r="W80" s="15" t="s">
        <v>51</v>
      </c>
      <c r="X80" s="16" t="s">
        <v>21</v>
      </c>
      <c r="Y80" s="15" t="s">
        <v>49</v>
      </c>
      <c r="Z80" s="15" t="s">
        <v>99</v>
      </c>
      <c r="AA80" s="15" t="s">
        <v>51</v>
      </c>
      <c r="AB80" s="16" t="s">
        <v>21</v>
      </c>
      <c r="AC80" s="15" t="s">
        <v>49</v>
      </c>
      <c r="AD80" s="15" t="s">
        <v>100</v>
      </c>
      <c r="AE80" s="15" t="s">
        <v>51</v>
      </c>
      <c r="AF80" s="16" t="s">
        <v>21</v>
      </c>
      <c r="AG80" s="15" t="s">
        <v>49</v>
      </c>
      <c r="AI80" s="14" t="s">
        <v>97</v>
      </c>
      <c r="AJ80" s="15" t="s">
        <v>51</v>
      </c>
      <c r="AK80" s="16" t="s">
        <v>21</v>
      </c>
      <c r="AL80" s="15" t="s">
        <v>49</v>
      </c>
      <c r="AM80" s="15" t="s">
        <v>98</v>
      </c>
      <c r="AN80" s="15" t="s">
        <v>51</v>
      </c>
      <c r="AO80" s="16" t="s">
        <v>21</v>
      </c>
      <c r="AP80" s="15" t="s">
        <v>49</v>
      </c>
      <c r="AQ80" s="15" t="s">
        <v>99</v>
      </c>
      <c r="AR80" s="15" t="s">
        <v>51</v>
      </c>
      <c r="AS80" s="16" t="s">
        <v>21</v>
      </c>
      <c r="AT80" s="15" t="s">
        <v>49</v>
      </c>
      <c r="AU80" s="15" t="s">
        <v>100</v>
      </c>
      <c r="AV80" s="15" t="s">
        <v>51</v>
      </c>
      <c r="AW80" s="16" t="s">
        <v>21</v>
      </c>
      <c r="AX80" s="15" t="s">
        <v>49</v>
      </c>
    </row>
    <row r="81" spans="1:50" ht="13.5" customHeight="1" x14ac:dyDescent="0.2">
      <c r="A81" s="3" t="s">
        <v>8</v>
      </c>
      <c r="B81" s="3">
        <f>Results!$O$43</f>
        <v>10</v>
      </c>
      <c r="C81" s="11">
        <v>3</v>
      </c>
      <c r="D81" s="3">
        <f t="shared" ref="D81:D84" si="153">B81*C81</f>
        <v>30</v>
      </c>
      <c r="E81" s="3" t="s">
        <v>69</v>
      </c>
      <c r="F81" s="3">
        <f>Results!$O$48</f>
        <v>11</v>
      </c>
      <c r="G81" s="11">
        <v>3</v>
      </c>
      <c r="H81" s="3">
        <f t="shared" ref="H81:H84" si="154">F81*G81</f>
        <v>33</v>
      </c>
      <c r="I81" s="3" t="s">
        <v>19</v>
      </c>
      <c r="J81" s="3">
        <f>Results!$O$53</f>
        <v>1</v>
      </c>
      <c r="K81" s="11">
        <v>3</v>
      </c>
      <c r="L81" s="3">
        <f t="shared" ref="L81:L84" si="155">J81*K81</f>
        <v>3</v>
      </c>
      <c r="M81" s="3" t="s">
        <v>10</v>
      </c>
      <c r="N81" s="3">
        <f>Results!$O$58</f>
        <v>11</v>
      </c>
      <c r="O81" s="11">
        <v>3</v>
      </c>
      <c r="P81" s="3">
        <f t="shared" ref="P81:P84" si="156">N81*O81</f>
        <v>33</v>
      </c>
      <c r="R81" s="3" t="s">
        <v>8</v>
      </c>
      <c r="S81" s="3">
        <f>Results!$O$43</f>
        <v>10</v>
      </c>
      <c r="T81" s="11">
        <v>5</v>
      </c>
      <c r="U81" s="3">
        <f t="shared" ref="U81:U84" si="157">S81*T81</f>
        <v>50</v>
      </c>
      <c r="V81" s="3" t="s">
        <v>69</v>
      </c>
      <c r="W81" s="3">
        <f>Results!$O$48</f>
        <v>11</v>
      </c>
      <c r="X81" s="11">
        <v>3</v>
      </c>
      <c r="Y81" s="3">
        <f t="shared" ref="Y81:Y84" si="158">W81*X81</f>
        <v>33</v>
      </c>
      <c r="Z81" s="3" t="s">
        <v>19</v>
      </c>
      <c r="AA81" s="3">
        <f>Results!$O$53</f>
        <v>1</v>
      </c>
      <c r="AB81" s="11">
        <v>3</v>
      </c>
      <c r="AC81" s="3">
        <f t="shared" ref="AC81:AC84" si="159">AA81*AB81</f>
        <v>3</v>
      </c>
      <c r="AD81" s="3" t="s">
        <v>10</v>
      </c>
      <c r="AE81" s="3">
        <f>Results!$O$58</f>
        <v>11</v>
      </c>
      <c r="AF81" s="11">
        <v>3</v>
      </c>
      <c r="AG81" s="3">
        <f t="shared" ref="AG81:AG84" si="160">AE81*AF81</f>
        <v>33</v>
      </c>
      <c r="AI81" s="3" t="s">
        <v>8</v>
      </c>
      <c r="AJ81" s="3">
        <f>Results!$O$43</f>
        <v>10</v>
      </c>
      <c r="AK81" s="11">
        <v>3</v>
      </c>
      <c r="AL81" s="3">
        <f t="shared" ref="AL81:AL84" si="161">AJ81*AK81</f>
        <v>30</v>
      </c>
      <c r="AM81" s="3" t="s">
        <v>69</v>
      </c>
      <c r="AN81" s="3">
        <f>Results!$O$48</f>
        <v>11</v>
      </c>
      <c r="AO81" s="11">
        <v>3</v>
      </c>
      <c r="AP81" s="3">
        <f t="shared" ref="AP81:AP84" si="162">AN81*AO81</f>
        <v>33</v>
      </c>
      <c r="AQ81" s="3" t="s">
        <v>19</v>
      </c>
      <c r="AR81" s="3">
        <f>Results!$O$53</f>
        <v>1</v>
      </c>
      <c r="AS81" s="11">
        <v>3</v>
      </c>
      <c r="AT81" s="3">
        <f t="shared" ref="AT81:AT84" si="163">AR81*AS81</f>
        <v>3</v>
      </c>
      <c r="AU81" s="3" t="s">
        <v>10</v>
      </c>
      <c r="AV81" s="3">
        <f>Results!$O$58</f>
        <v>11</v>
      </c>
      <c r="AW81" s="11">
        <v>5</v>
      </c>
      <c r="AX81" s="3">
        <f t="shared" ref="AX81:AX84" si="164">AV81*AW81</f>
        <v>55</v>
      </c>
    </row>
    <row r="82" spans="1:50" ht="13.5" customHeight="1" x14ac:dyDescent="0.2">
      <c r="A82" s="3" t="s">
        <v>66</v>
      </c>
      <c r="B82" s="3">
        <f>Results!$O$44</f>
        <v>-1</v>
      </c>
      <c r="C82" s="11">
        <v>2</v>
      </c>
      <c r="D82" s="3">
        <f t="shared" si="153"/>
        <v>-2</v>
      </c>
      <c r="E82" s="3" t="s">
        <v>116</v>
      </c>
      <c r="F82" s="3">
        <f>Results!$O$49</f>
        <v>-3</v>
      </c>
      <c r="G82" s="11">
        <v>1</v>
      </c>
      <c r="H82" s="3">
        <f t="shared" si="154"/>
        <v>-3</v>
      </c>
      <c r="I82" s="3" t="s">
        <v>119</v>
      </c>
      <c r="J82" s="3">
        <f>Results!$O$54</f>
        <v>3</v>
      </c>
      <c r="K82" s="11"/>
      <c r="L82" s="3">
        <f t="shared" si="155"/>
        <v>0</v>
      </c>
      <c r="M82" s="3" t="s">
        <v>16</v>
      </c>
      <c r="N82" s="3">
        <f>Results!$O$59</f>
        <v>0</v>
      </c>
      <c r="O82" s="11">
        <v>1</v>
      </c>
      <c r="P82" s="3">
        <f t="shared" si="156"/>
        <v>0</v>
      </c>
      <c r="R82" s="3" t="s">
        <v>66</v>
      </c>
      <c r="S82" s="3">
        <f>Results!$O$44</f>
        <v>-1</v>
      </c>
      <c r="T82" s="11">
        <v>2</v>
      </c>
      <c r="U82" s="3">
        <f t="shared" si="157"/>
        <v>-2</v>
      </c>
      <c r="V82" s="3" t="s">
        <v>116</v>
      </c>
      <c r="W82" s="3">
        <f>Results!$O$49</f>
        <v>-3</v>
      </c>
      <c r="X82" s="11">
        <v>1</v>
      </c>
      <c r="Y82" s="3">
        <f t="shared" si="158"/>
        <v>-3</v>
      </c>
      <c r="Z82" s="3" t="s">
        <v>119</v>
      </c>
      <c r="AA82" s="3">
        <f>Results!$O$54</f>
        <v>3</v>
      </c>
      <c r="AB82" s="11"/>
      <c r="AC82" s="3">
        <f t="shared" si="159"/>
        <v>0</v>
      </c>
      <c r="AD82" s="3" t="s">
        <v>16</v>
      </c>
      <c r="AE82" s="3">
        <f>Results!$O$59</f>
        <v>0</v>
      </c>
      <c r="AF82" s="11">
        <v>1</v>
      </c>
      <c r="AG82" s="3">
        <f t="shared" si="160"/>
        <v>0</v>
      </c>
      <c r="AI82" s="3" t="s">
        <v>66</v>
      </c>
      <c r="AJ82" s="3">
        <f>Results!$O$44</f>
        <v>-1</v>
      </c>
      <c r="AK82" s="11">
        <v>1</v>
      </c>
      <c r="AL82" s="3">
        <f t="shared" si="161"/>
        <v>-1</v>
      </c>
      <c r="AM82" s="3" t="s">
        <v>116</v>
      </c>
      <c r="AN82" s="3">
        <f>Results!$O$49</f>
        <v>-3</v>
      </c>
      <c r="AO82" s="11">
        <v>1</v>
      </c>
      <c r="AP82" s="3">
        <f t="shared" si="162"/>
        <v>-3</v>
      </c>
      <c r="AQ82" s="3" t="s">
        <v>119</v>
      </c>
      <c r="AR82" s="3">
        <f>Results!$O$54</f>
        <v>3</v>
      </c>
      <c r="AS82" s="11">
        <v>1</v>
      </c>
      <c r="AT82" s="3">
        <f t="shared" si="163"/>
        <v>3</v>
      </c>
      <c r="AU82" s="3" t="s">
        <v>16</v>
      </c>
      <c r="AV82" s="3">
        <f>Results!$O$59</f>
        <v>0</v>
      </c>
      <c r="AW82" s="11">
        <v>3</v>
      </c>
      <c r="AX82" s="3">
        <f t="shared" si="164"/>
        <v>0</v>
      </c>
    </row>
    <row r="83" spans="1:50" ht="13.5" customHeight="1" x14ac:dyDescent="0.2">
      <c r="A83" s="3" t="s">
        <v>114</v>
      </c>
      <c r="B83" s="3">
        <f>Results!$O$45</f>
        <v>-3</v>
      </c>
      <c r="C83" s="11"/>
      <c r="D83" s="3">
        <f t="shared" si="153"/>
        <v>0</v>
      </c>
      <c r="E83" s="3" t="s">
        <v>117</v>
      </c>
      <c r="F83" s="3">
        <f>Results!$O$50</f>
        <v>9</v>
      </c>
      <c r="G83" s="11">
        <v>2</v>
      </c>
      <c r="H83" s="3">
        <f t="shared" si="154"/>
        <v>18</v>
      </c>
      <c r="I83" s="3" t="s">
        <v>120</v>
      </c>
      <c r="J83" s="3">
        <f>Results!$O$55</f>
        <v>-2</v>
      </c>
      <c r="K83" s="11">
        <v>1</v>
      </c>
      <c r="L83" s="3">
        <f t="shared" si="155"/>
        <v>-2</v>
      </c>
      <c r="M83" s="3" t="s">
        <v>83</v>
      </c>
      <c r="N83" s="3">
        <f>Results!$O$60</f>
        <v>6</v>
      </c>
      <c r="O83" s="11">
        <v>2</v>
      </c>
      <c r="P83" s="3">
        <f t="shared" si="156"/>
        <v>12</v>
      </c>
      <c r="R83" s="3" t="s">
        <v>114</v>
      </c>
      <c r="S83" s="3">
        <f>Results!$O$45</f>
        <v>-3</v>
      </c>
      <c r="T83" s="11">
        <v>1</v>
      </c>
      <c r="U83" s="3">
        <f t="shared" si="157"/>
        <v>-3</v>
      </c>
      <c r="V83" s="3" t="s">
        <v>117</v>
      </c>
      <c r="W83" s="3">
        <f>Results!$O$50</f>
        <v>9</v>
      </c>
      <c r="X83" s="11">
        <v>2</v>
      </c>
      <c r="Y83" s="3">
        <f t="shared" si="158"/>
        <v>18</v>
      </c>
      <c r="Z83" s="3" t="s">
        <v>120</v>
      </c>
      <c r="AA83" s="3">
        <f>Results!$O$55</f>
        <v>-2</v>
      </c>
      <c r="AB83" s="11">
        <v>1</v>
      </c>
      <c r="AC83" s="3">
        <f t="shared" si="159"/>
        <v>-2</v>
      </c>
      <c r="AD83" s="3" t="s">
        <v>83</v>
      </c>
      <c r="AE83" s="3">
        <f>Results!$O$60</f>
        <v>6</v>
      </c>
      <c r="AF83" s="11">
        <v>2</v>
      </c>
      <c r="AG83" s="3">
        <f t="shared" si="160"/>
        <v>12</v>
      </c>
      <c r="AI83" s="3" t="s">
        <v>114</v>
      </c>
      <c r="AJ83" s="3">
        <f>Results!$O$45</f>
        <v>-3</v>
      </c>
      <c r="AK83" s="11"/>
      <c r="AL83" s="3">
        <f t="shared" si="161"/>
        <v>0</v>
      </c>
      <c r="AM83" s="3" t="s">
        <v>117</v>
      </c>
      <c r="AN83" s="3">
        <f>Results!$O$50</f>
        <v>9</v>
      </c>
      <c r="AO83" s="11">
        <v>2</v>
      </c>
      <c r="AP83" s="3">
        <f t="shared" si="162"/>
        <v>18</v>
      </c>
      <c r="AQ83" s="3" t="s">
        <v>120</v>
      </c>
      <c r="AR83" s="3">
        <f>Results!$O$55</f>
        <v>-2</v>
      </c>
      <c r="AS83" s="11"/>
      <c r="AT83" s="3">
        <f t="shared" si="163"/>
        <v>0</v>
      </c>
      <c r="AU83" s="3" t="s">
        <v>83</v>
      </c>
      <c r="AV83" s="3">
        <f>Results!$O$60</f>
        <v>6</v>
      </c>
      <c r="AW83" s="11">
        <v>2</v>
      </c>
      <c r="AX83" s="3">
        <f t="shared" si="164"/>
        <v>12</v>
      </c>
    </row>
    <row r="84" spans="1:50" ht="13.5" customHeight="1" thickBot="1" x14ac:dyDescent="0.25">
      <c r="A84" s="19" t="s">
        <v>115</v>
      </c>
      <c r="B84" s="19">
        <f>Results!$O$46</f>
        <v>12</v>
      </c>
      <c r="C84" s="20">
        <v>1</v>
      </c>
      <c r="D84" s="19">
        <f t="shared" si="153"/>
        <v>12</v>
      </c>
      <c r="E84" s="19" t="s">
        <v>118</v>
      </c>
      <c r="F84" s="19">
        <f>Results!$O$51</f>
        <v>-1</v>
      </c>
      <c r="G84" s="20"/>
      <c r="H84" s="19">
        <f t="shared" si="154"/>
        <v>0</v>
      </c>
      <c r="I84" s="19" t="s">
        <v>121</v>
      </c>
      <c r="J84" s="19">
        <f>Results!$O$56</f>
        <v>9</v>
      </c>
      <c r="K84" s="20">
        <v>2</v>
      </c>
      <c r="L84" s="19">
        <f t="shared" si="155"/>
        <v>18</v>
      </c>
      <c r="M84" s="19" t="s">
        <v>122</v>
      </c>
      <c r="N84" s="19">
        <f>Results!$O$61</f>
        <v>-3</v>
      </c>
      <c r="O84" s="20"/>
      <c r="P84" s="19">
        <f t="shared" si="156"/>
        <v>0</v>
      </c>
      <c r="R84" s="19" t="s">
        <v>115</v>
      </c>
      <c r="S84" s="19">
        <f>Results!$O$46</f>
        <v>12</v>
      </c>
      <c r="T84" s="20">
        <v>3</v>
      </c>
      <c r="U84" s="19">
        <f t="shared" si="157"/>
        <v>36</v>
      </c>
      <c r="V84" s="19" t="s">
        <v>118</v>
      </c>
      <c r="W84" s="19">
        <f>Results!$O$51</f>
        <v>-1</v>
      </c>
      <c r="X84" s="20"/>
      <c r="Y84" s="19">
        <f t="shared" si="158"/>
        <v>0</v>
      </c>
      <c r="Z84" s="19" t="s">
        <v>121</v>
      </c>
      <c r="AA84" s="19">
        <f>Results!$O$56</f>
        <v>9</v>
      </c>
      <c r="AB84" s="20">
        <v>2</v>
      </c>
      <c r="AC84" s="19">
        <f t="shared" si="159"/>
        <v>18</v>
      </c>
      <c r="AD84" s="19" t="s">
        <v>122</v>
      </c>
      <c r="AE84" s="19">
        <f>Results!$O$61</f>
        <v>-3</v>
      </c>
      <c r="AF84" s="20"/>
      <c r="AG84" s="19">
        <f t="shared" si="160"/>
        <v>0</v>
      </c>
      <c r="AI84" s="19" t="s">
        <v>115</v>
      </c>
      <c r="AJ84" s="19">
        <f>Results!$O$46</f>
        <v>12</v>
      </c>
      <c r="AK84" s="20">
        <v>2</v>
      </c>
      <c r="AL84" s="19">
        <f t="shared" si="161"/>
        <v>24</v>
      </c>
      <c r="AM84" s="19" t="s">
        <v>118</v>
      </c>
      <c r="AN84" s="19">
        <f>Results!$O$51</f>
        <v>-1</v>
      </c>
      <c r="AO84" s="20"/>
      <c r="AP84" s="19">
        <f t="shared" si="162"/>
        <v>0</v>
      </c>
      <c r="AQ84" s="19" t="s">
        <v>121</v>
      </c>
      <c r="AR84" s="19">
        <f>Results!$O$56</f>
        <v>9</v>
      </c>
      <c r="AS84" s="20">
        <v>2</v>
      </c>
      <c r="AT84" s="19">
        <f t="shared" si="163"/>
        <v>18</v>
      </c>
      <c r="AU84" s="19" t="s">
        <v>122</v>
      </c>
      <c r="AV84" s="19">
        <f>Results!$O$61</f>
        <v>-3</v>
      </c>
      <c r="AW84" s="20">
        <v>1</v>
      </c>
      <c r="AX84" s="19">
        <f t="shared" si="164"/>
        <v>-3</v>
      </c>
    </row>
    <row r="85" spans="1:50" s="27" customFormat="1" ht="13.5" customHeight="1" thickBot="1" x14ac:dyDescent="0.25">
      <c r="A85" s="28"/>
      <c r="B85" s="28"/>
      <c r="C85" s="29"/>
      <c r="D85" s="28"/>
      <c r="E85" s="28"/>
      <c r="F85" s="28"/>
      <c r="G85" s="29"/>
      <c r="H85" s="28"/>
      <c r="I85" s="28"/>
      <c r="J85" s="28"/>
      <c r="K85" s="29"/>
      <c r="L85" s="28"/>
      <c r="M85" s="28"/>
      <c r="N85" s="28"/>
      <c r="O85" s="29"/>
      <c r="P85" s="28"/>
      <c r="R85" s="28"/>
      <c r="S85" s="28"/>
      <c r="T85" s="29"/>
      <c r="U85" s="28"/>
      <c r="V85" s="28"/>
      <c r="W85" s="28"/>
      <c r="X85" s="29"/>
      <c r="Y85" s="28"/>
      <c r="Z85" s="28"/>
      <c r="AA85" s="28"/>
      <c r="AB85" s="29"/>
      <c r="AC85" s="28"/>
      <c r="AD85" s="28"/>
      <c r="AE85" s="28"/>
      <c r="AF85" s="29"/>
      <c r="AG85" s="28"/>
      <c r="AI85" s="28"/>
      <c r="AJ85" s="28"/>
      <c r="AK85" s="29"/>
      <c r="AL85" s="28"/>
      <c r="AM85" s="28"/>
      <c r="AN85" s="28"/>
      <c r="AO85" s="29"/>
      <c r="AP85" s="28"/>
      <c r="AQ85" s="28"/>
      <c r="AR85" s="28"/>
      <c r="AS85" s="29"/>
      <c r="AT85" s="28"/>
      <c r="AU85" s="28"/>
      <c r="AV85" s="28"/>
      <c r="AW85" s="29"/>
      <c r="AX85" s="28"/>
    </row>
    <row r="86" spans="1:50" ht="13.5" customHeight="1" x14ac:dyDescent="0.2">
      <c r="A86" s="12" t="s">
        <v>0</v>
      </c>
      <c r="B86" s="59" t="s">
        <v>92</v>
      </c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13" t="s">
        <v>50</v>
      </c>
      <c r="N86" s="61">
        <f>SUM(D88:D91,D93:D96,H88:H91, H93:H96,L88:L91,L93:L96,P88:P91,P93:P96,D98:D101,H98:H101,L98:L101,P98:P101)</f>
        <v>363</v>
      </c>
      <c r="O86" s="60"/>
      <c r="P86" s="62"/>
      <c r="R86" s="12" t="s">
        <v>0</v>
      </c>
      <c r="S86" s="59" t="s">
        <v>137</v>
      </c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13" t="s">
        <v>50</v>
      </c>
      <c r="AE86" s="61">
        <f>SUM(U88:U91,U93:U96,Y88:Y91, Y93:Y96,AC88:AC91,AC93:AC96,AG88:AG91,AG93:AG96,U98:U101,Y98:Y101,AC98:AC101,AG98:AG101)</f>
        <v>399</v>
      </c>
      <c r="AF86" s="60"/>
      <c r="AG86" s="62"/>
      <c r="AI86" s="12" t="s">
        <v>0</v>
      </c>
      <c r="AJ86" s="59" t="s">
        <v>148</v>
      </c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13" t="s">
        <v>50</v>
      </c>
      <c r="AV86" s="61">
        <f>SUM(AL88:AL91,AL93:AL96,AP88:AP91, AP93:AP96,AT88:AT91,AT93:AT96,AX88:AX91,AX93:AX96,AL98:AL101,AP98:AP101,AT98:AT101,AX98:AX101)</f>
        <v>348</v>
      </c>
      <c r="AW86" s="60"/>
      <c r="AX86" s="62"/>
    </row>
    <row r="87" spans="1:50" ht="13.5" customHeight="1" x14ac:dyDescent="0.2">
      <c r="A87" s="14" t="s">
        <v>3</v>
      </c>
      <c r="B87" s="15" t="s">
        <v>51</v>
      </c>
      <c r="C87" s="16" t="s">
        <v>21</v>
      </c>
      <c r="D87" s="15" t="s">
        <v>49</v>
      </c>
      <c r="E87" s="15" t="s">
        <v>6</v>
      </c>
      <c r="F87" s="15" t="s">
        <v>51</v>
      </c>
      <c r="G87" s="16" t="s">
        <v>21</v>
      </c>
      <c r="H87" s="15" t="s">
        <v>49</v>
      </c>
      <c r="I87" s="15" t="s">
        <v>7</v>
      </c>
      <c r="J87" s="15" t="s">
        <v>51</v>
      </c>
      <c r="K87" s="16" t="s">
        <v>21</v>
      </c>
      <c r="L87" s="15" t="s">
        <v>49</v>
      </c>
      <c r="M87" s="15" t="s">
        <v>13</v>
      </c>
      <c r="N87" s="15" t="s">
        <v>51</v>
      </c>
      <c r="O87" s="16" t="s">
        <v>21</v>
      </c>
      <c r="P87" s="17" t="s">
        <v>49</v>
      </c>
      <c r="R87" s="14" t="s">
        <v>3</v>
      </c>
      <c r="S87" s="15" t="s">
        <v>51</v>
      </c>
      <c r="T87" s="16" t="s">
        <v>21</v>
      </c>
      <c r="U87" s="15" t="s">
        <v>49</v>
      </c>
      <c r="V87" s="15" t="s">
        <v>6</v>
      </c>
      <c r="W87" s="15" t="s">
        <v>51</v>
      </c>
      <c r="X87" s="16" t="s">
        <v>21</v>
      </c>
      <c r="Y87" s="15" t="s">
        <v>49</v>
      </c>
      <c r="Z87" s="15" t="s">
        <v>7</v>
      </c>
      <c r="AA87" s="15" t="s">
        <v>51</v>
      </c>
      <c r="AB87" s="16" t="s">
        <v>21</v>
      </c>
      <c r="AC87" s="15" t="s">
        <v>49</v>
      </c>
      <c r="AD87" s="15" t="s">
        <v>13</v>
      </c>
      <c r="AE87" s="15" t="s">
        <v>51</v>
      </c>
      <c r="AF87" s="16" t="s">
        <v>21</v>
      </c>
      <c r="AG87" s="17" t="s">
        <v>49</v>
      </c>
      <c r="AI87" s="14" t="s">
        <v>3</v>
      </c>
      <c r="AJ87" s="15" t="s">
        <v>51</v>
      </c>
      <c r="AK87" s="16" t="s">
        <v>21</v>
      </c>
      <c r="AL87" s="15" t="s">
        <v>49</v>
      </c>
      <c r="AM87" s="15" t="s">
        <v>6</v>
      </c>
      <c r="AN87" s="15" t="s">
        <v>51</v>
      </c>
      <c r="AO87" s="16" t="s">
        <v>21</v>
      </c>
      <c r="AP87" s="15" t="s">
        <v>49</v>
      </c>
      <c r="AQ87" s="15" t="s">
        <v>7</v>
      </c>
      <c r="AR87" s="15" t="s">
        <v>51</v>
      </c>
      <c r="AS87" s="16" t="s">
        <v>21</v>
      </c>
      <c r="AT87" s="15" t="s">
        <v>49</v>
      </c>
      <c r="AU87" s="15" t="s">
        <v>13</v>
      </c>
      <c r="AV87" s="15" t="s">
        <v>51</v>
      </c>
      <c r="AW87" s="16" t="s">
        <v>21</v>
      </c>
      <c r="AX87" s="17" t="s">
        <v>49</v>
      </c>
    </row>
    <row r="88" spans="1:50" ht="13.5" customHeight="1" x14ac:dyDescent="0.2">
      <c r="A88" s="3" t="s">
        <v>71</v>
      </c>
      <c r="B88" s="3">
        <f>Results!$O$3</f>
        <v>3</v>
      </c>
      <c r="C88" s="11">
        <v>3</v>
      </c>
      <c r="D88" s="3">
        <f t="shared" ref="D88:D91" si="165">B88*C88</f>
        <v>9</v>
      </c>
      <c r="E88" s="3" t="s">
        <v>76</v>
      </c>
      <c r="F88" s="3">
        <f>Results!$O$8</f>
        <v>2</v>
      </c>
      <c r="G88" s="11">
        <v>2</v>
      </c>
      <c r="H88" s="3">
        <f t="shared" ref="H88:H91" si="166">F88*G88</f>
        <v>4</v>
      </c>
      <c r="I88" s="3" t="s">
        <v>80</v>
      </c>
      <c r="J88" s="3">
        <f>Results!$O$13</f>
        <v>2</v>
      </c>
      <c r="K88" s="11">
        <v>3</v>
      </c>
      <c r="L88" s="3">
        <f t="shared" ref="L88:L91" si="167">J88*K88</f>
        <v>6</v>
      </c>
      <c r="M88" s="3" t="s">
        <v>68</v>
      </c>
      <c r="N88" s="3">
        <f>Results!$O$18</f>
        <v>11</v>
      </c>
      <c r="O88" s="11">
        <v>3</v>
      </c>
      <c r="P88" s="18">
        <f>N88*O88</f>
        <v>33</v>
      </c>
      <c r="R88" s="3" t="s">
        <v>71</v>
      </c>
      <c r="S88" s="3">
        <f>Results!$O$3</f>
        <v>3</v>
      </c>
      <c r="T88" s="11">
        <v>3</v>
      </c>
      <c r="U88" s="3">
        <f t="shared" ref="U88:U91" si="168">S88*T88</f>
        <v>9</v>
      </c>
      <c r="V88" s="3" t="s">
        <v>76</v>
      </c>
      <c r="W88" s="3">
        <f>Results!$O$8</f>
        <v>2</v>
      </c>
      <c r="X88" s="11">
        <v>2</v>
      </c>
      <c r="Y88" s="3">
        <f t="shared" ref="Y88:Y91" si="169">W88*X88</f>
        <v>4</v>
      </c>
      <c r="Z88" s="3" t="s">
        <v>80</v>
      </c>
      <c r="AA88" s="3">
        <f>Results!$O$13</f>
        <v>2</v>
      </c>
      <c r="AB88" s="11">
        <v>3</v>
      </c>
      <c r="AC88" s="3">
        <f t="shared" ref="AC88:AC91" si="170">AA88*AB88</f>
        <v>6</v>
      </c>
      <c r="AD88" s="3" t="s">
        <v>68</v>
      </c>
      <c r="AE88" s="3">
        <f>Results!$O$18</f>
        <v>11</v>
      </c>
      <c r="AF88" s="11">
        <v>3</v>
      </c>
      <c r="AG88" s="18">
        <f>AE88*AF88</f>
        <v>33</v>
      </c>
      <c r="AI88" s="3" t="s">
        <v>71</v>
      </c>
      <c r="AJ88" s="3">
        <f>Results!$O$3</f>
        <v>3</v>
      </c>
      <c r="AK88" s="11">
        <v>3</v>
      </c>
      <c r="AL88" s="3">
        <f t="shared" ref="AL88:AL91" si="171">AJ88*AK88</f>
        <v>9</v>
      </c>
      <c r="AM88" s="3" t="s">
        <v>76</v>
      </c>
      <c r="AN88" s="3">
        <f>Results!$O$8</f>
        <v>2</v>
      </c>
      <c r="AO88" s="11">
        <v>2</v>
      </c>
      <c r="AP88" s="3">
        <f t="shared" ref="AP88:AP91" si="172">AN88*AO88</f>
        <v>4</v>
      </c>
      <c r="AQ88" s="3" t="s">
        <v>80</v>
      </c>
      <c r="AR88" s="3">
        <f>Results!$O$13</f>
        <v>2</v>
      </c>
      <c r="AS88" s="11">
        <v>3</v>
      </c>
      <c r="AT88" s="3">
        <f t="shared" ref="AT88:AT91" si="173">AR88*AS88</f>
        <v>6</v>
      </c>
      <c r="AU88" s="3" t="s">
        <v>68</v>
      </c>
      <c r="AV88" s="3">
        <f>Results!$O$18</f>
        <v>11</v>
      </c>
      <c r="AW88" s="11">
        <v>3</v>
      </c>
      <c r="AX88" s="18">
        <f>AV88*AW88</f>
        <v>33</v>
      </c>
    </row>
    <row r="89" spans="1:50" ht="13.5" customHeight="1" x14ac:dyDescent="0.2">
      <c r="A89" s="3" t="s">
        <v>123</v>
      </c>
      <c r="B89" s="3">
        <f>Results!$O$4</f>
        <v>-14</v>
      </c>
      <c r="C89" s="11"/>
      <c r="D89" s="3">
        <f t="shared" si="165"/>
        <v>0</v>
      </c>
      <c r="E89" s="3" t="s">
        <v>103</v>
      </c>
      <c r="F89" s="3">
        <f>Results!$O$9</f>
        <v>1</v>
      </c>
      <c r="G89" s="11"/>
      <c r="H89" s="3">
        <f t="shared" si="166"/>
        <v>0</v>
      </c>
      <c r="I89" s="3" t="s">
        <v>77</v>
      </c>
      <c r="J89" s="3">
        <f>Results!$O$14</f>
        <v>4</v>
      </c>
      <c r="K89" s="11">
        <v>2</v>
      </c>
      <c r="L89" s="3">
        <f t="shared" si="167"/>
        <v>8</v>
      </c>
      <c r="M89" s="3" t="s">
        <v>106</v>
      </c>
      <c r="N89" s="3">
        <f>Results!$O$19</f>
        <v>-7</v>
      </c>
      <c r="O89" s="11">
        <v>1</v>
      </c>
      <c r="P89" s="18">
        <f>N89*O89</f>
        <v>-7</v>
      </c>
      <c r="R89" s="3" t="s">
        <v>123</v>
      </c>
      <c r="S89" s="3">
        <f>Results!$O$4</f>
        <v>-14</v>
      </c>
      <c r="T89" s="11"/>
      <c r="U89" s="3">
        <f t="shared" si="168"/>
        <v>0</v>
      </c>
      <c r="V89" s="3" t="s">
        <v>103</v>
      </c>
      <c r="W89" s="3">
        <f>Results!$O$9</f>
        <v>1</v>
      </c>
      <c r="X89" s="11"/>
      <c r="Y89" s="3">
        <f t="shared" si="169"/>
        <v>0</v>
      </c>
      <c r="Z89" s="3" t="s">
        <v>77</v>
      </c>
      <c r="AA89" s="3">
        <f>Results!$O$14</f>
        <v>4</v>
      </c>
      <c r="AB89" s="11">
        <v>2</v>
      </c>
      <c r="AC89" s="3">
        <f t="shared" si="170"/>
        <v>8</v>
      </c>
      <c r="AD89" s="3" t="s">
        <v>106</v>
      </c>
      <c r="AE89" s="3">
        <f>Results!$O$19</f>
        <v>-7</v>
      </c>
      <c r="AF89" s="11"/>
      <c r="AG89" s="18">
        <f>AE89*AF89</f>
        <v>0</v>
      </c>
      <c r="AI89" s="3" t="s">
        <v>123</v>
      </c>
      <c r="AJ89" s="3">
        <f>Results!$O$4</f>
        <v>-14</v>
      </c>
      <c r="AK89" s="11">
        <v>1</v>
      </c>
      <c r="AL89" s="3">
        <f t="shared" si="171"/>
        <v>-14</v>
      </c>
      <c r="AM89" s="3" t="s">
        <v>103</v>
      </c>
      <c r="AN89" s="3">
        <f>Results!$O$9</f>
        <v>1</v>
      </c>
      <c r="AO89" s="11"/>
      <c r="AP89" s="3">
        <f t="shared" si="172"/>
        <v>0</v>
      </c>
      <c r="AQ89" s="3" t="s">
        <v>77</v>
      </c>
      <c r="AR89" s="3">
        <f>Results!$O$14</f>
        <v>4</v>
      </c>
      <c r="AS89" s="11">
        <v>2</v>
      </c>
      <c r="AT89" s="3">
        <f t="shared" si="173"/>
        <v>8</v>
      </c>
      <c r="AU89" s="3" t="s">
        <v>106</v>
      </c>
      <c r="AV89" s="3">
        <f>Results!$O$19</f>
        <v>-7</v>
      </c>
      <c r="AW89" s="11"/>
      <c r="AX89" s="18">
        <f>AV89*AW89</f>
        <v>0</v>
      </c>
    </row>
    <row r="90" spans="1:50" ht="13.5" customHeight="1" x14ac:dyDescent="0.2">
      <c r="A90" s="3" t="s">
        <v>124</v>
      </c>
      <c r="B90" s="3">
        <f>Results!$O$5</f>
        <v>7</v>
      </c>
      <c r="C90" s="11">
        <v>2</v>
      </c>
      <c r="D90" s="3">
        <f t="shared" si="165"/>
        <v>14</v>
      </c>
      <c r="E90" s="3" t="s">
        <v>65</v>
      </c>
      <c r="F90" s="3">
        <f>Results!$O$10</f>
        <v>2</v>
      </c>
      <c r="G90" s="11">
        <v>1</v>
      </c>
      <c r="H90" s="3">
        <f t="shared" si="166"/>
        <v>2</v>
      </c>
      <c r="I90" s="3" t="s">
        <v>104</v>
      </c>
      <c r="J90" s="3">
        <f>Results!$O$15</f>
        <v>-2</v>
      </c>
      <c r="K90" s="11"/>
      <c r="L90" s="3">
        <f t="shared" si="167"/>
        <v>0</v>
      </c>
      <c r="M90" s="3" t="s">
        <v>72</v>
      </c>
      <c r="N90" s="3">
        <f>Results!$O$20</f>
        <v>9</v>
      </c>
      <c r="O90" s="11"/>
      <c r="P90" s="18">
        <f>N90*O90</f>
        <v>0</v>
      </c>
      <c r="R90" s="3" t="s">
        <v>124</v>
      </c>
      <c r="S90" s="3">
        <f>Results!$O$5</f>
        <v>7</v>
      </c>
      <c r="T90" s="11">
        <v>1</v>
      </c>
      <c r="U90" s="3">
        <f t="shared" si="168"/>
        <v>7</v>
      </c>
      <c r="V90" s="3" t="s">
        <v>65</v>
      </c>
      <c r="W90" s="3">
        <f>Results!$O$10</f>
        <v>2</v>
      </c>
      <c r="X90" s="11">
        <v>1</v>
      </c>
      <c r="Y90" s="3">
        <f t="shared" si="169"/>
        <v>2</v>
      </c>
      <c r="Z90" s="3" t="s">
        <v>104</v>
      </c>
      <c r="AA90" s="3">
        <f>Results!$O$15</f>
        <v>-2</v>
      </c>
      <c r="AB90" s="11"/>
      <c r="AC90" s="3">
        <f t="shared" si="170"/>
        <v>0</v>
      </c>
      <c r="AD90" s="3" t="s">
        <v>72</v>
      </c>
      <c r="AE90" s="3">
        <f>Results!$O$20</f>
        <v>9</v>
      </c>
      <c r="AF90" s="11">
        <v>1</v>
      </c>
      <c r="AG90" s="18">
        <f>AE90*AF90</f>
        <v>9</v>
      </c>
      <c r="AI90" s="3" t="s">
        <v>124</v>
      </c>
      <c r="AJ90" s="3">
        <f>Results!$O$5</f>
        <v>7</v>
      </c>
      <c r="AK90" s="11"/>
      <c r="AL90" s="3">
        <f t="shared" si="171"/>
        <v>0</v>
      </c>
      <c r="AM90" s="3" t="s">
        <v>65</v>
      </c>
      <c r="AN90" s="3">
        <f>Results!$O$10</f>
        <v>2</v>
      </c>
      <c r="AO90" s="11">
        <v>1</v>
      </c>
      <c r="AP90" s="3">
        <f t="shared" si="172"/>
        <v>2</v>
      </c>
      <c r="AQ90" s="3" t="s">
        <v>104</v>
      </c>
      <c r="AR90" s="3">
        <f>Results!$O$15</f>
        <v>-2</v>
      </c>
      <c r="AS90" s="11"/>
      <c r="AT90" s="3">
        <f t="shared" si="173"/>
        <v>0</v>
      </c>
      <c r="AU90" s="3" t="s">
        <v>72</v>
      </c>
      <c r="AV90" s="3">
        <f>Results!$O$20</f>
        <v>9</v>
      </c>
      <c r="AW90" s="11">
        <v>2</v>
      </c>
      <c r="AX90" s="18">
        <f>AV90*AW90</f>
        <v>18</v>
      </c>
    </row>
    <row r="91" spans="1:50" ht="13.5" customHeight="1" x14ac:dyDescent="0.2">
      <c r="A91" s="3" t="s">
        <v>102</v>
      </c>
      <c r="B91" s="3">
        <f>Results!$O$6</f>
        <v>0</v>
      </c>
      <c r="C91" s="11">
        <v>1</v>
      </c>
      <c r="D91" s="3">
        <f t="shared" si="165"/>
        <v>0</v>
      </c>
      <c r="E91" s="3" t="s">
        <v>12</v>
      </c>
      <c r="F91" s="3">
        <f>Results!$O$11</f>
        <v>3</v>
      </c>
      <c r="G91" s="11">
        <v>3</v>
      </c>
      <c r="H91" s="3">
        <f t="shared" si="166"/>
        <v>9</v>
      </c>
      <c r="I91" s="3" t="s">
        <v>105</v>
      </c>
      <c r="J91" s="3">
        <f>Results!$O$16</f>
        <v>4</v>
      </c>
      <c r="K91" s="11">
        <v>1</v>
      </c>
      <c r="L91" s="3">
        <f t="shared" si="167"/>
        <v>4</v>
      </c>
      <c r="M91" s="3" t="s">
        <v>107</v>
      </c>
      <c r="N91" s="3">
        <f>Results!$O$21</f>
        <v>-3</v>
      </c>
      <c r="O91" s="11">
        <v>2</v>
      </c>
      <c r="P91" s="18">
        <f>N91*O91</f>
        <v>-6</v>
      </c>
      <c r="R91" s="3" t="s">
        <v>102</v>
      </c>
      <c r="S91" s="3">
        <f>Results!$O$6</f>
        <v>0</v>
      </c>
      <c r="T91" s="11">
        <v>2</v>
      </c>
      <c r="U91" s="3">
        <f t="shared" si="168"/>
        <v>0</v>
      </c>
      <c r="V91" s="3" t="s">
        <v>12</v>
      </c>
      <c r="W91" s="3">
        <f>Results!$O$11</f>
        <v>3</v>
      </c>
      <c r="X91" s="11">
        <v>3</v>
      </c>
      <c r="Y91" s="3">
        <f t="shared" si="169"/>
        <v>9</v>
      </c>
      <c r="Z91" s="3" t="s">
        <v>105</v>
      </c>
      <c r="AA91" s="3">
        <f>Results!$O$16</f>
        <v>4</v>
      </c>
      <c r="AB91" s="11">
        <v>1</v>
      </c>
      <c r="AC91" s="3">
        <f t="shared" si="170"/>
        <v>4</v>
      </c>
      <c r="AD91" s="3" t="s">
        <v>107</v>
      </c>
      <c r="AE91" s="3">
        <f>Results!$O$21</f>
        <v>-3</v>
      </c>
      <c r="AF91" s="11">
        <v>2</v>
      </c>
      <c r="AG91" s="18">
        <f>AE91*AF91</f>
        <v>-6</v>
      </c>
      <c r="AI91" s="3" t="s">
        <v>102</v>
      </c>
      <c r="AJ91" s="3">
        <f>Results!$O$6</f>
        <v>0</v>
      </c>
      <c r="AK91" s="11">
        <v>2</v>
      </c>
      <c r="AL91" s="3">
        <f t="shared" si="171"/>
        <v>0</v>
      </c>
      <c r="AM91" s="3" t="s">
        <v>12</v>
      </c>
      <c r="AN91" s="3">
        <f>Results!$O$11</f>
        <v>3</v>
      </c>
      <c r="AO91" s="11">
        <v>3</v>
      </c>
      <c r="AP91" s="3">
        <f t="shared" si="172"/>
        <v>9</v>
      </c>
      <c r="AQ91" s="3" t="s">
        <v>105</v>
      </c>
      <c r="AR91" s="3">
        <f>Results!$O$16</f>
        <v>4</v>
      </c>
      <c r="AS91" s="11">
        <v>1</v>
      </c>
      <c r="AT91" s="3">
        <f t="shared" si="173"/>
        <v>4</v>
      </c>
      <c r="AU91" s="3" t="s">
        <v>107</v>
      </c>
      <c r="AV91" s="3">
        <f>Results!$O$21</f>
        <v>-3</v>
      </c>
      <c r="AW91" s="11">
        <v>1</v>
      </c>
      <c r="AX91" s="18">
        <f>AV91*AW91</f>
        <v>-3</v>
      </c>
    </row>
    <row r="92" spans="1:50" ht="13.5" customHeight="1" x14ac:dyDescent="0.2">
      <c r="A92" s="14" t="s">
        <v>14</v>
      </c>
      <c r="B92" s="15" t="s">
        <v>51</v>
      </c>
      <c r="C92" s="16" t="s">
        <v>21</v>
      </c>
      <c r="D92" s="15" t="s">
        <v>49</v>
      </c>
      <c r="E92" s="15" t="s">
        <v>15</v>
      </c>
      <c r="F92" s="15" t="s">
        <v>51</v>
      </c>
      <c r="G92" s="16" t="s">
        <v>21</v>
      </c>
      <c r="H92" s="15" t="s">
        <v>49</v>
      </c>
      <c r="I92" s="15" t="s">
        <v>78</v>
      </c>
      <c r="J92" s="15" t="s">
        <v>51</v>
      </c>
      <c r="K92" s="16" t="s">
        <v>21</v>
      </c>
      <c r="L92" s="15" t="s">
        <v>49</v>
      </c>
      <c r="M92" s="15" t="s">
        <v>79</v>
      </c>
      <c r="N92" s="15" t="s">
        <v>51</v>
      </c>
      <c r="O92" s="16" t="s">
        <v>21</v>
      </c>
      <c r="P92" s="15" t="s">
        <v>49</v>
      </c>
      <c r="R92" s="14" t="s">
        <v>14</v>
      </c>
      <c r="S92" s="15" t="s">
        <v>51</v>
      </c>
      <c r="T92" s="16" t="s">
        <v>21</v>
      </c>
      <c r="U92" s="15" t="s">
        <v>49</v>
      </c>
      <c r="V92" s="15" t="s">
        <v>15</v>
      </c>
      <c r="W92" s="15" t="s">
        <v>51</v>
      </c>
      <c r="X92" s="16" t="s">
        <v>21</v>
      </c>
      <c r="Y92" s="15" t="s">
        <v>49</v>
      </c>
      <c r="Z92" s="15" t="s">
        <v>78</v>
      </c>
      <c r="AA92" s="15" t="s">
        <v>51</v>
      </c>
      <c r="AB92" s="16" t="s">
        <v>21</v>
      </c>
      <c r="AC92" s="15" t="s">
        <v>49</v>
      </c>
      <c r="AD92" s="15" t="s">
        <v>79</v>
      </c>
      <c r="AE92" s="15" t="s">
        <v>51</v>
      </c>
      <c r="AF92" s="16" t="s">
        <v>21</v>
      </c>
      <c r="AG92" s="15" t="s">
        <v>49</v>
      </c>
      <c r="AI92" s="14" t="s">
        <v>14</v>
      </c>
      <c r="AJ92" s="15" t="s">
        <v>51</v>
      </c>
      <c r="AK92" s="16" t="s">
        <v>21</v>
      </c>
      <c r="AL92" s="15" t="s">
        <v>49</v>
      </c>
      <c r="AM92" s="15" t="s">
        <v>15</v>
      </c>
      <c r="AN92" s="15" t="s">
        <v>51</v>
      </c>
      <c r="AO92" s="16" t="s">
        <v>21</v>
      </c>
      <c r="AP92" s="15" t="s">
        <v>49</v>
      </c>
      <c r="AQ92" s="15" t="s">
        <v>78</v>
      </c>
      <c r="AR92" s="15" t="s">
        <v>51</v>
      </c>
      <c r="AS92" s="16" t="s">
        <v>21</v>
      </c>
      <c r="AT92" s="15" t="s">
        <v>49</v>
      </c>
      <c r="AU92" s="15" t="s">
        <v>79</v>
      </c>
      <c r="AV92" s="15" t="s">
        <v>51</v>
      </c>
      <c r="AW92" s="16" t="s">
        <v>21</v>
      </c>
      <c r="AX92" s="15" t="s">
        <v>49</v>
      </c>
    </row>
    <row r="93" spans="1:50" ht="13.5" customHeight="1" x14ac:dyDescent="0.2">
      <c r="A93" s="3" t="s">
        <v>11</v>
      </c>
      <c r="B93" s="3">
        <f>Results!$O$23</f>
        <v>18</v>
      </c>
      <c r="C93" s="11">
        <v>3</v>
      </c>
      <c r="D93" s="3">
        <f t="shared" ref="D93:D96" si="174">B93*C93</f>
        <v>54</v>
      </c>
      <c r="E93" s="3" t="s">
        <v>57</v>
      </c>
      <c r="F93" s="3">
        <f>Results!$O$28</f>
        <v>2</v>
      </c>
      <c r="G93" s="11">
        <v>3</v>
      </c>
      <c r="H93" s="3">
        <f t="shared" ref="H93:H96" si="175">F93*G93</f>
        <v>6</v>
      </c>
      <c r="I93" s="3" t="s">
        <v>18</v>
      </c>
      <c r="J93" s="3">
        <f>Results!$O$33</f>
        <v>2</v>
      </c>
      <c r="K93" s="11">
        <v>3</v>
      </c>
      <c r="L93" s="3">
        <f t="shared" ref="L93:L96" si="176">J93*K93</f>
        <v>6</v>
      </c>
      <c r="M93" s="3" t="s">
        <v>17</v>
      </c>
      <c r="N93" s="3">
        <f>Results!$O$38</f>
        <v>2</v>
      </c>
      <c r="O93" s="11">
        <v>5</v>
      </c>
      <c r="P93" s="3">
        <f t="shared" ref="P93:P96" si="177">N93*O93</f>
        <v>10</v>
      </c>
      <c r="R93" s="3" t="s">
        <v>11</v>
      </c>
      <c r="S93" s="3">
        <f>Results!$O$23</f>
        <v>18</v>
      </c>
      <c r="T93" s="11">
        <v>3</v>
      </c>
      <c r="U93" s="3">
        <f t="shared" ref="U93:U96" si="178">S93*T93</f>
        <v>54</v>
      </c>
      <c r="V93" s="3" t="s">
        <v>57</v>
      </c>
      <c r="W93" s="3">
        <f>Results!$O$28</f>
        <v>2</v>
      </c>
      <c r="X93" s="11">
        <v>3</v>
      </c>
      <c r="Y93" s="3">
        <f t="shared" ref="Y93:Y96" si="179">W93*X93</f>
        <v>6</v>
      </c>
      <c r="Z93" s="3" t="s">
        <v>18</v>
      </c>
      <c r="AA93" s="3">
        <f>Results!$O$33</f>
        <v>2</v>
      </c>
      <c r="AB93" s="11">
        <v>3</v>
      </c>
      <c r="AC93" s="3">
        <f t="shared" ref="AC93:AC96" si="180">AA93*AB93</f>
        <v>6</v>
      </c>
      <c r="AD93" s="3" t="s">
        <v>17</v>
      </c>
      <c r="AE93" s="3">
        <f>Results!$O$38</f>
        <v>2</v>
      </c>
      <c r="AF93" s="11">
        <v>3</v>
      </c>
      <c r="AG93" s="3">
        <f t="shared" ref="AG93:AG96" si="181">AE93*AF93</f>
        <v>6</v>
      </c>
      <c r="AI93" s="3" t="s">
        <v>11</v>
      </c>
      <c r="AJ93" s="3">
        <f>Results!$O$23</f>
        <v>18</v>
      </c>
      <c r="AK93" s="11">
        <v>2</v>
      </c>
      <c r="AL93" s="3">
        <f t="shared" ref="AL93:AL96" si="182">AJ93*AK93</f>
        <v>36</v>
      </c>
      <c r="AM93" s="3" t="s">
        <v>57</v>
      </c>
      <c r="AN93" s="3">
        <f>Results!$O$28</f>
        <v>2</v>
      </c>
      <c r="AO93" s="11">
        <v>3</v>
      </c>
      <c r="AP93" s="3">
        <f t="shared" ref="AP93:AP96" si="183">AN93*AO93</f>
        <v>6</v>
      </c>
      <c r="AQ93" s="3" t="s">
        <v>18</v>
      </c>
      <c r="AR93" s="3">
        <f>Results!$O$33</f>
        <v>2</v>
      </c>
      <c r="AS93" s="11">
        <v>3</v>
      </c>
      <c r="AT93" s="3">
        <f t="shared" ref="AT93:AT96" si="184">AR93*AS93</f>
        <v>6</v>
      </c>
      <c r="AU93" s="3" t="s">
        <v>17</v>
      </c>
      <c r="AV93" s="3">
        <f>Results!$O$38</f>
        <v>2</v>
      </c>
      <c r="AW93" s="11">
        <v>3</v>
      </c>
      <c r="AX93" s="3">
        <f t="shared" ref="AX93:AX96" si="185">AV93*AW93</f>
        <v>6</v>
      </c>
    </row>
    <row r="94" spans="1:50" ht="13.5" customHeight="1" x14ac:dyDescent="0.2">
      <c r="A94" s="3" t="s">
        <v>108</v>
      </c>
      <c r="B94" s="3">
        <f>Results!$O$24</f>
        <v>-5</v>
      </c>
      <c r="C94" s="11"/>
      <c r="D94" s="3">
        <f t="shared" si="174"/>
        <v>0</v>
      </c>
      <c r="E94" s="3" t="s">
        <v>75</v>
      </c>
      <c r="F94" s="3">
        <f>Results!$O$29</f>
        <v>5</v>
      </c>
      <c r="G94" s="11">
        <v>2</v>
      </c>
      <c r="H94" s="3">
        <f t="shared" si="175"/>
        <v>10</v>
      </c>
      <c r="I94" s="3" t="s">
        <v>111</v>
      </c>
      <c r="J94" s="3">
        <f>Results!$O$34</f>
        <v>2</v>
      </c>
      <c r="K94" s="11">
        <v>2</v>
      </c>
      <c r="L94" s="3">
        <f t="shared" si="176"/>
        <v>4</v>
      </c>
      <c r="M94" s="3" t="s">
        <v>113</v>
      </c>
      <c r="N94" s="3">
        <f>Results!$O$39</f>
        <v>2</v>
      </c>
      <c r="O94" s="11">
        <v>1</v>
      </c>
      <c r="P94" s="3">
        <f t="shared" si="177"/>
        <v>2</v>
      </c>
      <c r="R94" s="3" t="s">
        <v>108</v>
      </c>
      <c r="S94" s="3">
        <f>Results!$O$24</f>
        <v>-5</v>
      </c>
      <c r="T94" s="11"/>
      <c r="U94" s="3">
        <f t="shared" si="178"/>
        <v>0</v>
      </c>
      <c r="V94" s="3" t="s">
        <v>75</v>
      </c>
      <c r="W94" s="3">
        <f>Results!$O$29</f>
        <v>5</v>
      </c>
      <c r="X94" s="11">
        <v>2</v>
      </c>
      <c r="Y94" s="3">
        <f t="shared" si="179"/>
        <v>10</v>
      </c>
      <c r="Z94" s="3" t="s">
        <v>111</v>
      </c>
      <c r="AA94" s="3">
        <f>Results!$O$34</f>
        <v>2</v>
      </c>
      <c r="AB94" s="11">
        <v>2</v>
      </c>
      <c r="AC94" s="3">
        <f t="shared" si="180"/>
        <v>4</v>
      </c>
      <c r="AD94" s="3" t="s">
        <v>113</v>
      </c>
      <c r="AE94" s="3">
        <f>Results!$O$39</f>
        <v>2</v>
      </c>
      <c r="AF94" s="11"/>
      <c r="AG94" s="3">
        <f t="shared" si="181"/>
        <v>0</v>
      </c>
      <c r="AI94" s="3" t="s">
        <v>108</v>
      </c>
      <c r="AJ94" s="3">
        <f>Results!$O$24</f>
        <v>-5</v>
      </c>
      <c r="AK94" s="11"/>
      <c r="AL94" s="3">
        <f t="shared" si="182"/>
        <v>0</v>
      </c>
      <c r="AM94" s="3" t="s">
        <v>75</v>
      </c>
      <c r="AN94" s="3">
        <f>Results!$O$29</f>
        <v>5</v>
      </c>
      <c r="AO94" s="11">
        <v>1</v>
      </c>
      <c r="AP94" s="3">
        <f t="shared" si="183"/>
        <v>5</v>
      </c>
      <c r="AQ94" s="3" t="s">
        <v>111</v>
      </c>
      <c r="AR94" s="3">
        <f>Results!$O$34</f>
        <v>2</v>
      </c>
      <c r="AS94" s="11">
        <v>2</v>
      </c>
      <c r="AT94" s="3">
        <f t="shared" si="184"/>
        <v>4</v>
      </c>
      <c r="AU94" s="3" t="s">
        <v>113</v>
      </c>
      <c r="AV94" s="3">
        <f>Results!$O$39</f>
        <v>2</v>
      </c>
      <c r="AW94" s="11"/>
      <c r="AX94" s="3">
        <f t="shared" si="185"/>
        <v>0</v>
      </c>
    </row>
    <row r="95" spans="1:50" ht="13.5" customHeight="1" x14ac:dyDescent="0.2">
      <c r="A95" s="3" t="s">
        <v>109</v>
      </c>
      <c r="B95" s="3">
        <f>Results!$O$25</f>
        <v>4</v>
      </c>
      <c r="C95" s="11">
        <v>1</v>
      </c>
      <c r="D95" s="3">
        <f t="shared" si="174"/>
        <v>4</v>
      </c>
      <c r="E95" s="3" t="s">
        <v>110</v>
      </c>
      <c r="F95" s="3">
        <f>Results!$O$30</f>
        <v>14</v>
      </c>
      <c r="G95" s="11">
        <v>1</v>
      </c>
      <c r="H95" s="3">
        <f t="shared" si="175"/>
        <v>14</v>
      </c>
      <c r="I95" s="3" t="s">
        <v>67</v>
      </c>
      <c r="J95" s="3">
        <f>Results!$O$35</f>
        <v>4</v>
      </c>
      <c r="K95" s="11">
        <v>1</v>
      </c>
      <c r="L95" s="3">
        <f t="shared" si="176"/>
        <v>4</v>
      </c>
      <c r="M95" s="3" t="s">
        <v>70</v>
      </c>
      <c r="N95" s="3">
        <f>Results!$O$40</f>
        <v>3</v>
      </c>
      <c r="O95" s="11">
        <v>2</v>
      </c>
      <c r="P95" s="3">
        <f t="shared" si="177"/>
        <v>6</v>
      </c>
      <c r="R95" s="3" t="s">
        <v>109</v>
      </c>
      <c r="S95" s="3">
        <f>Results!$O$25</f>
        <v>4</v>
      </c>
      <c r="T95" s="11">
        <v>2</v>
      </c>
      <c r="U95" s="3">
        <f t="shared" si="178"/>
        <v>8</v>
      </c>
      <c r="V95" s="3" t="s">
        <v>110</v>
      </c>
      <c r="W95" s="3">
        <f>Results!$O$30</f>
        <v>14</v>
      </c>
      <c r="X95" s="11">
        <v>1</v>
      </c>
      <c r="Y95" s="3">
        <f t="shared" si="179"/>
        <v>14</v>
      </c>
      <c r="Z95" s="3" t="s">
        <v>67</v>
      </c>
      <c r="AA95" s="3">
        <f>Results!$O$35</f>
        <v>4</v>
      </c>
      <c r="AB95" s="11"/>
      <c r="AC95" s="3">
        <f t="shared" si="180"/>
        <v>0</v>
      </c>
      <c r="AD95" s="3" t="s">
        <v>70</v>
      </c>
      <c r="AE95" s="3">
        <f>Results!$O$40</f>
        <v>3</v>
      </c>
      <c r="AF95" s="11">
        <v>1</v>
      </c>
      <c r="AG95" s="3">
        <f t="shared" si="181"/>
        <v>3</v>
      </c>
      <c r="AI95" s="3" t="s">
        <v>109</v>
      </c>
      <c r="AJ95" s="3">
        <f>Results!$O$25</f>
        <v>4</v>
      </c>
      <c r="AK95" s="11">
        <v>1</v>
      </c>
      <c r="AL95" s="3">
        <f t="shared" si="182"/>
        <v>4</v>
      </c>
      <c r="AM95" s="3" t="s">
        <v>110</v>
      </c>
      <c r="AN95" s="3">
        <f>Results!$O$30</f>
        <v>14</v>
      </c>
      <c r="AO95" s="11">
        <v>2</v>
      </c>
      <c r="AP95" s="3">
        <f t="shared" si="183"/>
        <v>28</v>
      </c>
      <c r="AQ95" s="3" t="s">
        <v>67</v>
      </c>
      <c r="AR95" s="3">
        <f>Results!$O$35</f>
        <v>4</v>
      </c>
      <c r="AS95" s="11">
        <v>1</v>
      </c>
      <c r="AT95" s="3">
        <f t="shared" si="184"/>
        <v>4</v>
      </c>
      <c r="AU95" s="3" t="s">
        <v>70</v>
      </c>
      <c r="AV95" s="3">
        <f>Results!$O$40</f>
        <v>3</v>
      </c>
      <c r="AW95" s="11">
        <v>1</v>
      </c>
      <c r="AX95" s="3">
        <f t="shared" si="185"/>
        <v>3</v>
      </c>
    </row>
    <row r="96" spans="1:50" ht="13.5" customHeight="1" x14ac:dyDescent="0.2">
      <c r="A96" s="24" t="s">
        <v>91</v>
      </c>
      <c r="B96" s="24">
        <f>Results!$O$26</f>
        <v>-2</v>
      </c>
      <c r="C96" s="25">
        <v>2</v>
      </c>
      <c r="D96" s="24">
        <f t="shared" si="174"/>
        <v>-4</v>
      </c>
      <c r="E96" s="24" t="s">
        <v>73</v>
      </c>
      <c r="F96" s="24">
        <f>Results!$O$31</f>
        <v>-4</v>
      </c>
      <c r="G96" s="25"/>
      <c r="H96" s="24">
        <f t="shared" si="175"/>
        <v>0</v>
      </c>
      <c r="I96" s="24" t="s">
        <v>112</v>
      </c>
      <c r="J96" s="24">
        <f>Results!$O$36</f>
        <v>5</v>
      </c>
      <c r="K96" s="25"/>
      <c r="L96" s="24">
        <f t="shared" si="176"/>
        <v>0</v>
      </c>
      <c r="M96" s="24" t="s">
        <v>84</v>
      </c>
      <c r="N96" s="24">
        <f>Results!$O$41</f>
        <v>4</v>
      </c>
      <c r="O96" s="25">
        <v>3</v>
      </c>
      <c r="P96" s="24">
        <f t="shared" si="177"/>
        <v>12</v>
      </c>
      <c r="R96" s="24" t="s">
        <v>91</v>
      </c>
      <c r="S96" s="24">
        <f>Results!$O$26</f>
        <v>-2</v>
      </c>
      <c r="T96" s="25">
        <v>1</v>
      </c>
      <c r="U96" s="24">
        <f t="shared" si="178"/>
        <v>-2</v>
      </c>
      <c r="V96" s="24" t="s">
        <v>73</v>
      </c>
      <c r="W96" s="24">
        <f>Results!$O$31</f>
        <v>-4</v>
      </c>
      <c r="X96" s="25"/>
      <c r="Y96" s="24">
        <f t="shared" si="179"/>
        <v>0</v>
      </c>
      <c r="Z96" s="24" t="s">
        <v>112</v>
      </c>
      <c r="AA96" s="24">
        <f>Results!$O$36</f>
        <v>5</v>
      </c>
      <c r="AB96" s="25">
        <v>1</v>
      </c>
      <c r="AC96" s="24">
        <f t="shared" si="180"/>
        <v>5</v>
      </c>
      <c r="AD96" s="24" t="s">
        <v>84</v>
      </c>
      <c r="AE96" s="24">
        <f>Results!$O$41</f>
        <v>4</v>
      </c>
      <c r="AF96" s="25">
        <v>2</v>
      </c>
      <c r="AG96" s="24">
        <f t="shared" si="181"/>
        <v>8</v>
      </c>
      <c r="AI96" s="24" t="s">
        <v>91</v>
      </c>
      <c r="AJ96" s="24">
        <f>Results!$O$26</f>
        <v>-2</v>
      </c>
      <c r="AK96" s="25">
        <v>3</v>
      </c>
      <c r="AL96" s="24">
        <f t="shared" si="182"/>
        <v>-6</v>
      </c>
      <c r="AM96" s="24" t="s">
        <v>73</v>
      </c>
      <c r="AN96" s="24">
        <f>Results!$O$31</f>
        <v>-4</v>
      </c>
      <c r="AO96" s="25"/>
      <c r="AP96" s="24">
        <f t="shared" si="183"/>
        <v>0</v>
      </c>
      <c r="AQ96" s="24" t="s">
        <v>112</v>
      </c>
      <c r="AR96" s="24">
        <f>Results!$O$36</f>
        <v>5</v>
      </c>
      <c r="AS96" s="25"/>
      <c r="AT96" s="24">
        <f t="shared" si="184"/>
        <v>0</v>
      </c>
      <c r="AU96" s="24" t="s">
        <v>84</v>
      </c>
      <c r="AV96" s="24">
        <f>Results!$O$41</f>
        <v>4</v>
      </c>
      <c r="AW96" s="25">
        <v>2</v>
      </c>
      <c r="AX96" s="24">
        <f t="shared" si="185"/>
        <v>8</v>
      </c>
    </row>
    <row r="97" spans="1:50" ht="13.5" customHeight="1" x14ac:dyDescent="0.2">
      <c r="A97" s="14" t="s">
        <v>97</v>
      </c>
      <c r="B97" s="15" t="s">
        <v>51</v>
      </c>
      <c r="C97" s="16" t="s">
        <v>21</v>
      </c>
      <c r="D97" s="15" t="s">
        <v>49</v>
      </c>
      <c r="E97" s="15" t="s">
        <v>98</v>
      </c>
      <c r="F97" s="15" t="s">
        <v>51</v>
      </c>
      <c r="G97" s="16" t="s">
        <v>21</v>
      </c>
      <c r="H97" s="15" t="s">
        <v>49</v>
      </c>
      <c r="I97" s="15" t="s">
        <v>99</v>
      </c>
      <c r="J97" s="15" t="s">
        <v>51</v>
      </c>
      <c r="K97" s="16" t="s">
        <v>21</v>
      </c>
      <c r="L97" s="15" t="s">
        <v>49</v>
      </c>
      <c r="M97" s="15" t="s">
        <v>100</v>
      </c>
      <c r="N97" s="15" t="s">
        <v>51</v>
      </c>
      <c r="O97" s="16" t="s">
        <v>21</v>
      </c>
      <c r="P97" s="15" t="s">
        <v>49</v>
      </c>
      <c r="R97" s="14" t="s">
        <v>97</v>
      </c>
      <c r="S97" s="15" t="s">
        <v>51</v>
      </c>
      <c r="T97" s="16" t="s">
        <v>21</v>
      </c>
      <c r="U97" s="15" t="s">
        <v>49</v>
      </c>
      <c r="V97" s="15" t="s">
        <v>98</v>
      </c>
      <c r="W97" s="15" t="s">
        <v>51</v>
      </c>
      <c r="X97" s="16" t="s">
        <v>21</v>
      </c>
      <c r="Y97" s="15" t="s">
        <v>49</v>
      </c>
      <c r="Z97" s="15" t="s">
        <v>99</v>
      </c>
      <c r="AA97" s="15" t="s">
        <v>51</v>
      </c>
      <c r="AB97" s="16" t="s">
        <v>21</v>
      </c>
      <c r="AC97" s="15" t="s">
        <v>49</v>
      </c>
      <c r="AD97" s="15" t="s">
        <v>100</v>
      </c>
      <c r="AE97" s="15" t="s">
        <v>51</v>
      </c>
      <c r="AF97" s="16" t="s">
        <v>21</v>
      </c>
      <c r="AG97" s="15" t="s">
        <v>49</v>
      </c>
      <c r="AI97" s="14" t="s">
        <v>97</v>
      </c>
      <c r="AJ97" s="15" t="s">
        <v>51</v>
      </c>
      <c r="AK97" s="16" t="s">
        <v>21</v>
      </c>
      <c r="AL97" s="15" t="s">
        <v>49</v>
      </c>
      <c r="AM97" s="15" t="s">
        <v>98</v>
      </c>
      <c r="AN97" s="15" t="s">
        <v>51</v>
      </c>
      <c r="AO97" s="16" t="s">
        <v>21</v>
      </c>
      <c r="AP97" s="15" t="s">
        <v>49</v>
      </c>
      <c r="AQ97" s="15" t="s">
        <v>99</v>
      </c>
      <c r="AR97" s="15" t="s">
        <v>51</v>
      </c>
      <c r="AS97" s="16" t="s">
        <v>21</v>
      </c>
      <c r="AT97" s="15" t="s">
        <v>49</v>
      </c>
      <c r="AU97" s="15" t="s">
        <v>100</v>
      </c>
      <c r="AV97" s="15" t="s">
        <v>51</v>
      </c>
      <c r="AW97" s="16" t="s">
        <v>21</v>
      </c>
      <c r="AX97" s="15" t="s">
        <v>49</v>
      </c>
    </row>
    <row r="98" spans="1:50" ht="13.5" customHeight="1" x14ac:dyDescent="0.2">
      <c r="A98" s="3" t="s">
        <v>8</v>
      </c>
      <c r="B98" s="3">
        <f>Results!$O$43</f>
        <v>10</v>
      </c>
      <c r="C98" s="11">
        <v>3</v>
      </c>
      <c r="D98" s="3">
        <f t="shared" ref="D98:D101" si="186">B98*C98</f>
        <v>30</v>
      </c>
      <c r="E98" s="3" t="s">
        <v>69</v>
      </c>
      <c r="F98" s="3">
        <f>Results!$O$48</f>
        <v>11</v>
      </c>
      <c r="G98" s="11">
        <v>3</v>
      </c>
      <c r="H98" s="3">
        <f t="shared" ref="H98:H101" si="187">F98*G98</f>
        <v>33</v>
      </c>
      <c r="I98" s="3" t="s">
        <v>19</v>
      </c>
      <c r="J98" s="3">
        <f>Results!$O$53</f>
        <v>1</v>
      </c>
      <c r="K98" s="11">
        <v>3</v>
      </c>
      <c r="L98" s="3">
        <f t="shared" ref="L98:L101" si="188">J98*K98</f>
        <v>3</v>
      </c>
      <c r="M98" s="3" t="s">
        <v>10</v>
      </c>
      <c r="N98" s="3">
        <f>Results!$O$58</f>
        <v>11</v>
      </c>
      <c r="O98" s="11">
        <v>3</v>
      </c>
      <c r="P98" s="3">
        <f t="shared" ref="P98:P101" si="189">N98*O98</f>
        <v>33</v>
      </c>
      <c r="R98" s="3" t="s">
        <v>8</v>
      </c>
      <c r="S98" s="3">
        <f>Results!$O$43</f>
        <v>10</v>
      </c>
      <c r="T98" s="11">
        <v>5</v>
      </c>
      <c r="U98" s="3">
        <f t="shared" ref="U98:U101" si="190">S98*T98</f>
        <v>50</v>
      </c>
      <c r="V98" s="3" t="s">
        <v>69</v>
      </c>
      <c r="W98" s="3">
        <f>Results!$O$48</f>
        <v>11</v>
      </c>
      <c r="X98" s="11">
        <v>3</v>
      </c>
      <c r="Y98" s="3">
        <f t="shared" ref="Y98:Y101" si="191">W98*X98</f>
        <v>33</v>
      </c>
      <c r="Z98" s="3" t="s">
        <v>19</v>
      </c>
      <c r="AA98" s="3">
        <f>Results!$O$53</f>
        <v>1</v>
      </c>
      <c r="AB98" s="11">
        <v>3</v>
      </c>
      <c r="AC98" s="3">
        <f t="shared" ref="AC98:AC101" si="192">AA98*AB98</f>
        <v>3</v>
      </c>
      <c r="AD98" s="3" t="s">
        <v>10</v>
      </c>
      <c r="AE98" s="3">
        <f>Results!$O$58</f>
        <v>11</v>
      </c>
      <c r="AF98" s="11">
        <v>3</v>
      </c>
      <c r="AG98" s="3">
        <f t="shared" ref="AG98:AG101" si="193">AE98*AF98</f>
        <v>33</v>
      </c>
      <c r="AI98" s="3" t="s">
        <v>8</v>
      </c>
      <c r="AJ98" s="3">
        <f>Results!$O$43</f>
        <v>10</v>
      </c>
      <c r="AK98" s="11">
        <v>5</v>
      </c>
      <c r="AL98" s="3">
        <f t="shared" ref="AL98:AL101" si="194">AJ98*AK98</f>
        <v>50</v>
      </c>
      <c r="AM98" s="3" t="s">
        <v>69</v>
      </c>
      <c r="AN98" s="3">
        <f>Results!$O$48</f>
        <v>11</v>
      </c>
      <c r="AO98" s="11">
        <v>3</v>
      </c>
      <c r="AP98" s="3">
        <f t="shared" ref="AP98:AP101" si="195">AN98*AO98</f>
        <v>33</v>
      </c>
      <c r="AQ98" s="3" t="s">
        <v>19</v>
      </c>
      <c r="AR98" s="3">
        <f>Results!$O$53</f>
        <v>1</v>
      </c>
      <c r="AS98" s="11">
        <v>3</v>
      </c>
      <c r="AT98" s="3">
        <f t="shared" ref="AT98:AT101" si="196">AR98*AS98</f>
        <v>3</v>
      </c>
      <c r="AU98" s="3" t="s">
        <v>10</v>
      </c>
      <c r="AV98" s="3">
        <f>Results!$O$58</f>
        <v>11</v>
      </c>
      <c r="AW98" s="11">
        <v>2</v>
      </c>
      <c r="AX98" s="3">
        <f t="shared" ref="AX98:AX101" si="197">AV98*AW98</f>
        <v>22</v>
      </c>
    </row>
    <row r="99" spans="1:50" ht="13.5" customHeight="1" x14ac:dyDescent="0.2">
      <c r="A99" s="3" t="s">
        <v>66</v>
      </c>
      <c r="B99" s="3">
        <f>Results!$O$44</f>
        <v>-1</v>
      </c>
      <c r="C99" s="11">
        <v>1</v>
      </c>
      <c r="D99" s="3">
        <f t="shared" si="186"/>
        <v>-1</v>
      </c>
      <c r="E99" s="3" t="s">
        <v>116</v>
      </c>
      <c r="F99" s="3">
        <f>Results!$O$49</f>
        <v>-3</v>
      </c>
      <c r="G99" s="11">
        <v>1</v>
      </c>
      <c r="H99" s="3">
        <f t="shared" si="187"/>
        <v>-3</v>
      </c>
      <c r="I99" s="3" t="s">
        <v>119</v>
      </c>
      <c r="J99" s="3">
        <f>Results!$O$54</f>
        <v>3</v>
      </c>
      <c r="K99" s="11"/>
      <c r="L99" s="3">
        <f t="shared" si="188"/>
        <v>0</v>
      </c>
      <c r="M99" s="3" t="s">
        <v>16</v>
      </c>
      <c r="N99" s="3">
        <f>Results!$O$59</f>
        <v>0</v>
      </c>
      <c r="O99" s="11">
        <v>2</v>
      </c>
      <c r="P99" s="3">
        <f t="shared" si="189"/>
        <v>0</v>
      </c>
      <c r="R99" s="3" t="s">
        <v>66</v>
      </c>
      <c r="S99" s="3">
        <f>Results!$O$44</f>
        <v>-1</v>
      </c>
      <c r="T99" s="11">
        <v>2</v>
      </c>
      <c r="U99" s="3">
        <f t="shared" si="190"/>
        <v>-2</v>
      </c>
      <c r="V99" s="3" t="s">
        <v>116</v>
      </c>
      <c r="W99" s="3">
        <f>Results!$O$49</f>
        <v>-3</v>
      </c>
      <c r="X99" s="11">
        <v>1</v>
      </c>
      <c r="Y99" s="3">
        <f t="shared" si="191"/>
        <v>-3</v>
      </c>
      <c r="Z99" s="3" t="s">
        <v>119</v>
      </c>
      <c r="AA99" s="3">
        <f>Results!$O$54</f>
        <v>3</v>
      </c>
      <c r="AB99" s="11">
        <v>1</v>
      </c>
      <c r="AC99" s="3">
        <f t="shared" si="192"/>
        <v>3</v>
      </c>
      <c r="AD99" s="3" t="s">
        <v>16</v>
      </c>
      <c r="AE99" s="3">
        <f>Results!$O$59</f>
        <v>0</v>
      </c>
      <c r="AF99" s="11">
        <v>2</v>
      </c>
      <c r="AG99" s="3">
        <f t="shared" si="193"/>
        <v>0</v>
      </c>
      <c r="AI99" s="3" t="s">
        <v>66</v>
      </c>
      <c r="AJ99" s="3">
        <f>Results!$O$44</f>
        <v>-1</v>
      </c>
      <c r="AK99" s="11">
        <v>2</v>
      </c>
      <c r="AL99" s="3">
        <f t="shared" si="194"/>
        <v>-2</v>
      </c>
      <c r="AM99" s="3" t="s">
        <v>116</v>
      </c>
      <c r="AN99" s="3">
        <f>Results!$O$49</f>
        <v>-3</v>
      </c>
      <c r="AO99" s="11"/>
      <c r="AP99" s="3">
        <f t="shared" si="195"/>
        <v>0</v>
      </c>
      <c r="AQ99" s="3" t="s">
        <v>119</v>
      </c>
      <c r="AR99" s="3">
        <f>Results!$O$54</f>
        <v>3</v>
      </c>
      <c r="AS99" s="11"/>
      <c r="AT99" s="3">
        <f t="shared" si="196"/>
        <v>0</v>
      </c>
      <c r="AU99" s="3" t="s">
        <v>16</v>
      </c>
      <c r="AV99" s="3">
        <f>Results!$O$59</f>
        <v>0</v>
      </c>
      <c r="AW99" s="11">
        <v>3</v>
      </c>
      <c r="AX99" s="3">
        <f t="shared" si="197"/>
        <v>0</v>
      </c>
    </row>
    <row r="100" spans="1:50" ht="13.5" customHeight="1" x14ac:dyDescent="0.2">
      <c r="A100" s="3" t="s">
        <v>114</v>
      </c>
      <c r="B100" s="3">
        <f>Results!$O$45</f>
        <v>-3</v>
      </c>
      <c r="C100" s="11"/>
      <c r="D100" s="3">
        <f t="shared" si="186"/>
        <v>0</v>
      </c>
      <c r="E100" s="3" t="s">
        <v>117</v>
      </c>
      <c r="F100" s="3">
        <f>Results!$O$50</f>
        <v>9</v>
      </c>
      <c r="G100" s="11">
        <v>2</v>
      </c>
      <c r="H100" s="3">
        <f t="shared" si="187"/>
        <v>18</v>
      </c>
      <c r="I100" s="3" t="s">
        <v>120</v>
      </c>
      <c r="J100" s="3">
        <f>Results!$O$55</f>
        <v>-2</v>
      </c>
      <c r="K100" s="11">
        <v>1</v>
      </c>
      <c r="L100" s="3">
        <f t="shared" si="188"/>
        <v>-2</v>
      </c>
      <c r="M100" s="3" t="s">
        <v>83</v>
      </c>
      <c r="N100" s="3">
        <f>Results!$O$60</f>
        <v>6</v>
      </c>
      <c r="O100" s="11">
        <v>1</v>
      </c>
      <c r="P100" s="3">
        <f t="shared" si="189"/>
        <v>6</v>
      </c>
      <c r="R100" s="3" t="s">
        <v>114</v>
      </c>
      <c r="S100" s="3">
        <f>Results!$O$45</f>
        <v>-3</v>
      </c>
      <c r="T100" s="11">
        <v>1</v>
      </c>
      <c r="U100" s="3">
        <f t="shared" si="190"/>
        <v>-3</v>
      </c>
      <c r="V100" s="3" t="s">
        <v>117</v>
      </c>
      <c r="W100" s="3">
        <f>Results!$O$50</f>
        <v>9</v>
      </c>
      <c r="X100" s="11">
        <v>2</v>
      </c>
      <c r="Y100" s="3">
        <f t="shared" si="191"/>
        <v>18</v>
      </c>
      <c r="Z100" s="3" t="s">
        <v>120</v>
      </c>
      <c r="AA100" s="3">
        <f>Results!$O$55</f>
        <v>-2</v>
      </c>
      <c r="AB100" s="11"/>
      <c r="AC100" s="3">
        <f t="shared" si="192"/>
        <v>0</v>
      </c>
      <c r="AD100" s="3" t="s">
        <v>83</v>
      </c>
      <c r="AE100" s="3">
        <f>Results!$O$60</f>
        <v>6</v>
      </c>
      <c r="AF100" s="11">
        <v>1</v>
      </c>
      <c r="AG100" s="3">
        <f t="shared" si="193"/>
        <v>6</v>
      </c>
      <c r="AI100" s="3" t="s">
        <v>114</v>
      </c>
      <c r="AJ100" s="3">
        <f>Results!$O$45</f>
        <v>-3</v>
      </c>
      <c r="AK100" s="11">
        <v>1</v>
      </c>
      <c r="AL100" s="3">
        <f t="shared" si="194"/>
        <v>-3</v>
      </c>
      <c r="AM100" s="3" t="s">
        <v>117</v>
      </c>
      <c r="AN100" s="3">
        <f>Results!$O$50</f>
        <v>9</v>
      </c>
      <c r="AO100" s="11">
        <v>1</v>
      </c>
      <c r="AP100" s="3">
        <f t="shared" si="195"/>
        <v>9</v>
      </c>
      <c r="AQ100" s="3" t="s">
        <v>120</v>
      </c>
      <c r="AR100" s="3">
        <f>Results!$O$55</f>
        <v>-2</v>
      </c>
      <c r="AS100" s="11">
        <v>1</v>
      </c>
      <c r="AT100" s="3">
        <f t="shared" si="196"/>
        <v>-2</v>
      </c>
      <c r="AU100" s="3" t="s">
        <v>83</v>
      </c>
      <c r="AV100" s="3">
        <f>Results!$O$60</f>
        <v>6</v>
      </c>
      <c r="AW100" s="11">
        <v>1</v>
      </c>
      <c r="AX100" s="3">
        <f t="shared" si="197"/>
        <v>6</v>
      </c>
    </row>
    <row r="101" spans="1:50" ht="13.5" customHeight="1" thickBot="1" x14ac:dyDescent="0.25">
      <c r="A101" s="19" t="s">
        <v>115</v>
      </c>
      <c r="B101" s="19">
        <f>Results!$O$46</f>
        <v>12</v>
      </c>
      <c r="C101" s="20">
        <v>2</v>
      </c>
      <c r="D101" s="19">
        <f t="shared" si="186"/>
        <v>24</v>
      </c>
      <c r="E101" s="19" t="s">
        <v>118</v>
      </c>
      <c r="F101" s="19">
        <f>Results!$O$51</f>
        <v>-1</v>
      </c>
      <c r="G101" s="20"/>
      <c r="H101" s="19">
        <f t="shared" si="187"/>
        <v>0</v>
      </c>
      <c r="I101" s="19" t="s">
        <v>121</v>
      </c>
      <c r="J101" s="19">
        <f>Results!$O$56</f>
        <v>9</v>
      </c>
      <c r="K101" s="20">
        <v>2</v>
      </c>
      <c r="L101" s="19">
        <f t="shared" si="188"/>
        <v>18</v>
      </c>
      <c r="M101" s="19" t="s">
        <v>122</v>
      </c>
      <c r="N101" s="19">
        <f>Results!$O$61</f>
        <v>-3</v>
      </c>
      <c r="O101" s="20"/>
      <c r="P101" s="19">
        <f t="shared" si="189"/>
        <v>0</v>
      </c>
      <c r="R101" s="19" t="s">
        <v>115</v>
      </c>
      <c r="S101" s="19">
        <f>Results!$O$46</f>
        <v>12</v>
      </c>
      <c r="T101" s="20">
        <v>3</v>
      </c>
      <c r="U101" s="19">
        <f t="shared" si="190"/>
        <v>36</v>
      </c>
      <c r="V101" s="19" t="s">
        <v>118</v>
      </c>
      <c r="W101" s="19">
        <f>Results!$O$51</f>
        <v>-1</v>
      </c>
      <c r="X101" s="20"/>
      <c r="Y101" s="19">
        <f t="shared" si="191"/>
        <v>0</v>
      </c>
      <c r="Z101" s="19" t="s">
        <v>121</v>
      </c>
      <c r="AA101" s="19">
        <f>Results!$O$56</f>
        <v>9</v>
      </c>
      <c r="AB101" s="20">
        <v>2</v>
      </c>
      <c r="AC101" s="19">
        <f t="shared" si="192"/>
        <v>18</v>
      </c>
      <c r="AD101" s="19" t="s">
        <v>122</v>
      </c>
      <c r="AE101" s="19">
        <f>Results!$O$61</f>
        <v>-3</v>
      </c>
      <c r="AF101" s="20"/>
      <c r="AG101" s="19">
        <f t="shared" si="193"/>
        <v>0</v>
      </c>
      <c r="AI101" s="19" t="s">
        <v>115</v>
      </c>
      <c r="AJ101" s="19">
        <f>Results!$O$46</f>
        <v>12</v>
      </c>
      <c r="AK101" s="20">
        <v>3</v>
      </c>
      <c r="AL101" s="19">
        <f t="shared" si="194"/>
        <v>36</v>
      </c>
      <c r="AM101" s="19" t="s">
        <v>118</v>
      </c>
      <c r="AN101" s="19">
        <f>Results!$O$51</f>
        <v>-1</v>
      </c>
      <c r="AO101" s="20">
        <v>2</v>
      </c>
      <c r="AP101" s="19">
        <f t="shared" si="195"/>
        <v>-2</v>
      </c>
      <c r="AQ101" s="19" t="s">
        <v>121</v>
      </c>
      <c r="AR101" s="19">
        <f>Results!$O$56</f>
        <v>9</v>
      </c>
      <c r="AS101" s="20">
        <v>2</v>
      </c>
      <c r="AT101" s="19">
        <f t="shared" si="196"/>
        <v>18</v>
      </c>
      <c r="AU101" s="19" t="s">
        <v>122</v>
      </c>
      <c r="AV101" s="19">
        <f>Results!$O$61</f>
        <v>-3</v>
      </c>
      <c r="AW101" s="20"/>
      <c r="AX101" s="19">
        <f t="shared" si="197"/>
        <v>0</v>
      </c>
    </row>
    <row r="102" spans="1:50" s="27" customFormat="1" ht="13.5" customHeight="1" thickBot="1" x14ac:dyDescent="0.25">
      <c r="A102" s="31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32"/>
      <c r="N102" s="64"/>
      <c r="O102" s="64"/>
      <c r="P102" s="65"/>
      <c r="R102" s="31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32"/>
      <c r="AE102" s="64"/>
      <c r="AF102" s="64"/>
      <c r="AG102" s="65"/>
      <c r="AI102" s="31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32"/>
      <c r="AV102" s="64"/>
      <c r="AW102" s="64"/>
      <c r="AX102" s="65"/>
    </row>
    <row r="103" spans="1:50" ht="13.5" customHeight="1" x14ac:dyDescent="0.2">
      <c r="A103" s="12" t="s">
        <v>0</v>
      </c>
      <c r="B103" s="59" t="s">
        <v>129</v>
      </c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13" t="s">
        <v>50</v>
      </c>
      <c r="N103" s="61">
        <f>SUM(D105:D108,D110:D113,H105:H108, H110:H113,L105:L108,L110:L113,P105:P108,P110:P113,D115:D118,H115:H118,L115:L118,P115:P118)</f>
        <v>417</v>
      </c>
      <c r="O103" s="60"/>
      <c r="P103" s="62"/>
      <c r="R103" s="12" t="s">
        <v>0</v>
      </c>
      <c r="S103" s="59" t="s">
        <v>138</v>
      </c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13" t="s">
        <v>50</v>
      </c>
      <c r="AE103" s="61">
        <f>SUM(U105:U108,U110:U113,Y105:Y108, Y110:Y113,AC105:AC108,AC110:AC113,AG105:AG108,AG110:AG113,U115:U118,Y115:Y118,AC115:AC118,AG115:AG118)</f>
        <v>332</v>
      </c>
      <c r="AF103" s="60"/>
      <c r="AG103" s="62"/>
      <c r="AI103" s="12" t="s">
        <v>0</v>
      </c>
      <c r="AJ103" s="59" t="s">
        <v>149</v>
      </c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13" t="s">
        <v>50</v>
      </c>
      <c r="AV103" s="61">
        <f>SUM(AL105:AL108,AL110:AL113,AP105:AP108, AP110:AP113,AT105:AT108,AT110:AT113,AX105:AX108,AX110:AX113,AL115:AL118,AP115:AP118,AT115:AT118,AX115:AX118)</f>
        <v>364</v>
      </c>
      <c r="AW103" s="60"/>
      <c r="AX103" s="62"/>
    </row>
    <row r="104" spans="1:50" ht="13.5" customHeight="1" x14ac:dyDescent="0.2">
      <c r="A104" s="14" t="s">
        <v>3</v>
      </c>
      <c r="B104" s="15" t="s">
        <v>51</v>
      </c>
      <c r="C104" s="16" t="s">
        <v>21</v>
      </c>
      <c r="D104" s="15" t="s">
        <v>49</v>
      </c>
      <c r="E104" s="15" t="s">
        <v>6</v>
      </c>
      <c r="F104" s="15" t="s">
        <v>51</v>
      </c>
      <c r="G104" s="16" t="s">
        <v>21</v>
      </c>
      <c r="H104" s="15" t="s">
        <v>49</v>
      </c>
      <c r="I104" s="15" t="s">
        <v>7</v>
      </c>
      <c r="J104" s="15" t="s">
        <v>51</v>
      </c>
      <c r="K104" s="16" t="s">
        <v>21</v>
      </c>
      <c r="L104" s="15" t="s">
        <v>49</v>
      </c>
      <c r="M104" s="15" t="s">
        <v>13</v>
      </c>
      <c r="N104" s="15" t="s">
        <v>51</v>
      </c>
      <c r="O104" s="16" t="s">
        <v>21</v>
      </c>
      <c r="P104" s="17" t="s">
        <v>49</v>
      </c>
      <c r="R104" s="14" t="s">
        <v>3</v>
      </c>
      <c r="S104" s="15" t="s">
        <v>51</v>
      </c>
      <c r="T104" s="16" t="s">
        <v>21</v>
      </c>
      <c r="U104" s="15" t="s">
        <v>49</v>
      </c>
      <c r="V104" s="15" t="s">
        <v>6</v>
      </c>
      <c r="W104" s="15" t="s">
        <v>51</v>
      </c>
      <c r="X104" s="16" t="s">
        <v>21</v>
      </c>
      <c r="Y104" s="15" t="s">
        <v>49</v>
      </c>
      <c r="Z104" s="15" t="s">
        <v>7</v>
      </c>
      <c r="AA104" s="15" t="s">
        <v>51</v>
      </c>
      <c r="AB104" s="16" t="s">
        <v>21</v>
      </c>
      <c r="AC104" s="15" t="s">
        <v>49</v>
      </c>
      <c r="AD104" s="15" t="s">
        <v>13</v>
      </c>
      <c r="AE104" s="15" t="s">
        <v>51</v>
      </c>
      <c r="AF104" s="16" t="s">
        <v>21</v>
      </c>
      <c r="AG104" s="17" t="s">
        <v>49</v>
      </c>
      <c r="AI104" s="14" t="s">
        <v>3</v>
      </c>
      <c r="AJ104" s="15" t="s">
        <v>51</v>
      </c>
      <c r="AK104" s="16" t="s">
        <v>21</v>
      </c>
      <c r="AL104" s="15" t="s">
        <v>49</v>
      </c>
      <c r="AM104" s="15" t="s">
        <v>6</v>
      </c>
      <c r="AN104" s="15" t="s">
        <v>51</v>
      </c>
      <c r="AO104" s="16" t="s">
        <v>21</v>
      </c>
      <c r="AP104" s="15" t="s">
        <v>49</v>
      </c>
      <c r="AQ104" s="15" t="s">
        <v>7</v>
      </c>
      <c r="AR104" s="15" t="s">
        <v>51</v>
      </c>
      <c r="AS104" s="16" t="s">
        <v>21</v>
      </c>
      <c r="AT104" s="15" t="s">
        <v>49</v>
      </c>
      <c r="AU104" s="15" t="s">
        <v>13</v>
      </c>
      <c r="AV104" s="15" t="s">
        <v>51</v>
      </c>
      <c r="AW104" s="16" t="s">
        <v>21</v>
      </c>
      <c r="AX104" s="17" t="s">
        <v>49</v>
      </c>
    </row>
    <row r="105" spans="1:50" ht="13.5" customHeight="1" x14ac:dyDescent="0.2">
      <c r="A105" s="3" t="s">
        <v>71</v>
      </c>
      <c r="B105" s="3">
        <f>Results!$O$3</f>
        <v>3</v>
      </c>
      <c r="C105" s="11">
        <v>1</v>
      </c>
      <c r="D105" s="3">
        <f t="shared" ref="D105:D108" si="198">B105*C105</f>
        <v>3</v>
      </c>
      <c r="E105" s="3" t="s">
        <v>76</v>
      </c>
      <c r="F105" s="3">
        <f>Results!$O$8</f>
        <v>2</v>
      </c>
      <c r="G105" s="11">
        <v>2</v>
      </c>
      <c r="H105" s="3">
        <f t="shared" ref="H105:H108" si="199">F105*G105</f>
        <v>4</v>
      </c>
      <c r="I105" s="3" t="s">
        <v>80</v>
      </c>
      <c r="J105" s="3">
        <f>Results!$O$13</f>
        <v>2</v>
      </c>
      <c r="K105" s="11">
        <v>3</v>
      </c>
      <c r="L105" s="3">
        <f t="shared" ref="L105:L108" si="200">J105*K105</f>
        <v>6</v>
      </c>
      <c r="M105" s="3" t="s">
        <v>68</v>
      </c>
      <c r="N105" s="3">
        <f>Results!$O$18</f>
        <v>11</v>
      </c>
      <c r="O105" s="11">
        <v>3</v>
      </c>
      <c r="P105" s="18">
        <f>N105*O105</f>
        <v>33</v>
      </c>
      <c r="R105" s="3" t="s">
        <v>71</v>
      </c>
      <c r="S105" s="3">
        <f>Results!$O$3</f>
        <v>3</v>
      </c>
      <c r="T105" s="11">
        <v>3</v>
      </c>
      <c r="U105" s="3">
        <f t="shared" ref="U105:U108" si="201">S105*T105</f>
        <v>9</v>
      </c>
      <c r="V105" s="3" t="s">
        <v>76</v>
      </c>
      <c r="W105" s="3">
        <f>Results!$O$8</f>
        <v>2</v>
      </c>
      <c r="X105" s="11">
        <v>2</v>
      </c>
      <c r="Y105" s="3">
        <f t="shared" ref="Y105:Y108" si="202">W105*X105</f>
        <v>4</v>
      </c>
      <c r="Z105" s="3" t="s">
        <v>80</v>
      </c>
      <c r="AA105" s="3">
        <f>Results!$O$13</f>
        <v>2</v>
      </c>
      <c r="AB105" s="11">
        <v>3</v>
      </c>
      <c r="AC105" s="3">
        <f t="shared" ref="AC105:AC108" si="203">AA105*AB105</f>
        <v>6</v>
      </c>
      <c r="AD105" s="3" t="s">
        <v>68</v>
      </c>
      <c r="AE105" s="3">
        <f>Results!$O$18</f>
        <v>11</v>
      </c>
      <c r="AF105" s="11"/>
      <c r="AG105" s="18">
        <f>AE105*AF105</f>
        <v>0</v>
      </c>
      <c r="AI105" s="3" t="s">
        <v>71</v>
      </c>
      <c r="AJ105" s="3">
        <f>Results!$O$3</f>
        <v>3</v>
      </c>
      <c r="AK105" s="11">
        <v>2</v>
      </c>
      <c r="AL105" s="3">
        <f t="shared" ref="AL105:AL108" si="204">AJ105*AK105</f>
        <v>6</v>
      </c>
      <c r="AM105" s="3" t="s">
        <v>76</v>
      </c>
      <c r="AN105" s="3">
        <f>Results!$O$8</f>
        <v>2</v>
      </c>
      <c r="AO105" s="11">
        <v>2</v>
      </c>
      <c r="AP105" s="3">
        <f t="shared" ref="AP105:AP108" si="205">AN105*AO105</f>
        <v>4</v>
      </c>
      <c r="AQ105" s="3" t="s">
        <v>80</v>
      </c>
      <c r="AR105" s="3">
        <f>Results!$O$13</f>
        <v>2</v>
      </c>
      <c r="AS105" s="11">
        <v>3</v>
      </c>
      <c r="AT105" s="3">
        <f t="shared" ref="AT105:AT108" si="206">AR105*AS105</f>
        <v>6</v>
      </c>
      <c r="AU105" s="3" t="s">
        <v>68</v>
      </c>
      <c r="AV105" s="3">
        <f>Results!$O$18</f>
        <v>11</v>
      </c>
      <c r="AW105" s="11">
        <v>3</v>
      </c>
      <c r="AX105" s="18">
        <f>AV105*AW105</f>
        <v>33</v>
      </c>
    </row>
    <row r="106" spans="1:50" ht="13.5" customHeight="1" x14ac:dyDescent="0.2">
      <c r="A106" s="3" t="s">
        <v>123</v>
      </c>
      <c r="B106" s="3">
        <f>Results!$O$4</f>
        <v>-14</v>
      </c>
      <c r="C106" s="11"/>
      <c r="D106" s="3">
        <f t="shared" si="198"/>
        <v>0</v>
      </c>
      <c r="E106" s="3" t="s">
        <v>103</v>
      </c>
      <c r="F106" s="3">
        <f>Results!$O$9</f>
        <v>1</v>
      </c>
      <c r="G106" s="11">
        <v>1</v>
      </c>
      <c r="H106" s="3">
        <f t="shared" si="199"/>
        <v>1</v>
      </c>
      <c r="I106" s="3" t="s">
        <v>77</v>
      </c>
      <c r="J106" s="3">
        <f>Results!$O$14</f>
        <v>4</v>
      </c>
      <c r="K106" s="11">
        <v>2</v>
      </c>
      <c r="L106" s="3">
        <f t="shared" si="200"/>
        <v>8</v>
      </c>
      <c r="M106" s="3" t="s">
        <v>106</v>
      </c>
      <c r="N106" s="3">
        <f>Results!$O$19</f>
        <v>-7</v>
      </c>
      <c r="O106" s="11"/>
      <c r="P106" s="18">
        <f>N106*O106</f>
        <v>0</v>
      </c>
      <c r="R106" s="3" t="s">
        <v>123</v>
      </c>
      <c r="S106" s="3">
        <f>Results!$O$4</f>
        <v>-14</v>
      </c>
      <c r="T106" s="11"/>
      <c r="U106" s="3">
        <f t="shared" si="201"/>
        <v>0</v>
      </c>
      <c r="V106" s="3" t="s">
        <v>103</v>
      </c>
      <c r="W106" s="3">
        <f>Results!$O$9</f>
        <v>1</v>
      </c>
      <c r="X106" s="11"/>
      <c r="Y106" s="3">
        <f t="shared" si="202"/>
        <v>0</v>
      </c>
      <c r="Z106" s="3" t="s">
        <v>77</v>
      </c>
      <c r="AA106" s="3">
        <f>Results!$O$14</f>
        <v>4</v>
      </c>
      <c r="AB106" s="11">
        <v>2</v>
      </c>
      <c r="AC106" s="3">
        <f t="shared" si="203"/>
        <v>8</v>
      </c>
      <c r="AD106" s="3" t="s">
        <v>106</v>
      </c>
      <c r="AE106" s="3">
        <f>Results!$O$19</f>
        <v>-7</v>
      </c>
      <c r="AF106" s="11">
        <v>2</v>
      </c>
      <c r="AG106" s="18">
        <f>AE106*AF106</f>
        <v>-14</v>
      </c>
      <c r="AI106" s="3" t="s">
        <v>123</v>
      </c>
      <c r="AJ106" s="3">
        <f>Results!$O$4</f>
        <v>-14</v>
      </c>
      <c r="AK106" s="11">
        <v>1</v>
      </c>
      <c r="AL106" s="3">
        <f t="shared" si="204"/>
        <v>-14</v>
      </c>
      <c r="AM106" s="3" t="s">
        <v>103</v>
      </c>
      <c r="AN106" s="3">
        <f>Results!$O$9</f>
        <v>1</v>
      </c>
      <c r="AO106" s="11">
        <v>1</v>
      </c>
      <c r="AP106" s="3">
        <f t="shared" si="205"/>
        <v>1</v>
      </c>
      <c r="AQ106" s="3" t="s">
        <v>77</v>
      </c>
      <c r="AR106" s="3">
        <f>Results!$O$14</f>
        <v>4</v>
      </c>
      <c r="AS106" s="11">
        <v>2</v>
      </c>
      <c r="AT106" s="3">
        <f t="shared" si="206"/>
        <v>8</v>
      </c>
      <c r="AU106" s="3" t="s">
        <v>106</v>
      </c>
      <c r="AV106" s="3">
        <f>Results!$O$19</f>
        <v>-7</v>
      </c>
      <c r="AW106" s="11">
        <v>2</v>
      </c>
      <c r="AX106" s="18">
        <f>AV106*AW106</f>
        <v>-14</v>
      </c>
    </row>
    <row r="107" spans="1:50" ht="13.5" customHeight="1" x14ac:dyDescent="0.2">
      <c r="A107" s="3" t="s">
        <v>124</v>
      </c>
      <c r="B107" s="3">
        <f>Results!$O$5</f>
        <v>7</v>
      </c>
      <c r="C107" s="11">
        <v>3</v>
      </c>
      <c r="D107" s="3">
        <f t="shared" si="198"/>
        <v>21</v>
      </c>
      <c r="E107" s="3" t="s">
        <v>65</v>
      </c>
      <c r="F107" s="3">
        <f>Results!$O$10</f>
        <v>2</v>
      </c>
      <c r="G107" s="11"/>
      <c r="H107" s="3">
        <f t="shared" si="199"/>
        <v>0</v>
      </c>
      <c r="I107" s="3" t="s">
        <v>104</v>
      </c>
      <c r="J107" s="3">
        <f>Results!$O$15</f>
        <v>-2</v>
      </c>
      <c r="K107" s="11"/>
      <c r="L107" s="3">
        <f t="shared" si="200"/>
        <v>0</v>
      </c>
      <c r="M107" s="3" t="s">
        <v>72</v>
      </c>
      <c r="N107" s="3">
        <f>Results!$O$20</f>
        <v>9</v>
      </c>
      <c r="O107" s="11">
        <v>2</v>
      </c>
      <c r="P107" s="18">
        <f>N107*O107</f>
        <v>18</v>
      </c>
      <c r="R107" s="3" t="s">
        <v>124</v>
      </c>
      <c r="S107" s="3">
        <f>Results!$O$5</f>
        <v>7</v>
      </c>
      <c r="T107" s="11">
        <v>1</v>
      </c>
      <c r="U107" s="3">
        <f t="shared" si="201"/>
        <v>7</v>
      </c>
      <c r="V107" s="3" t="s">
        <v>65</v>
      </c>
      <c r="W107" s="3">
        <f>Results!$O$10</f>
        <v>2</v>
      </c>
      <c r="X107" s="11">
        <v>1</v>
      </c>
      <c r="Y107" s="3">
        <f t="shared" si="202"/>
        <v>2</v>
      </c>
      <c r="Z107" s="3" t="s">
        <v>104</v>
      </c>
      <c r="AA107" s="3">
        <f>Results!$O$15</f>
        <v>-2</v>
      </c>
      <c r="AB107" s="11"/>
      <c r="AC107" s="3">
        <f t="shared" si="203"/>
        <v>0</v>
      </c>
      <c r="AD107" s="3" t="s">
        <v>72</v>
      </c>
      <c r="AE107" s="3">
        <f>Results!$O$20</f>
        <v>9</v>
      </c>
      <c r="AF107" s="11">
        <v>1</v>
      </c>
      <c r="AG107" s="18">
        <f>AE107*AF107</f>
        <v>9</v>
      </c>
      <c r="AI107" s="3" t="s">
        <v>124</v>
      </c>
      <c r="AJ107" s="3">
        <f>Results!$O$5</f>
        <v>7</v>
      </c>
      <c r="AK107" s="11">
        <v>3</v>
      </c>
      <c r="AL107" s="3">
        <f t="shared" si="204"/>
        <v>21</v>
      </c>
      <c r="AM107" s="3" t="s">
        <v>65</v>
      </c>
      <c r="AN107" s="3">
        <f>Results!$O$10</f>
        <v>2</v>
      </c>
      <c r="AO107" s="11"/>
      <c r="AP107" s="3">
        <f t="shared" si="205"/>
        <v>0</v>
      </c>
      <c r="AQ107" s="3" t="s">
        <v>104</v>
      </c>
      <c r="AR107" s="3">
        <f>Results!$O$15</f>
        <v>-2</v>
      </c>
      <c r="AS107" s="11"/>
      <c r="AT107" s="3">
        <f t="shared" si="206"/>
        <v>0</v>
      </c>
      <c r="AU107" s="3" t="s">
        <v>72</v>
      </c>
      <c r="AV107" s="3">
        <f>Results!$O$20</f>
        <v>9</v>
      </c>
      <c r="AW107" s="11"/>
      <c r="AX107" s="18">
        <f>AV107*AW107</f>
        <v>0</v>
      </c>
    </row>
    <row r="108" spans="1:50" ht="13.5" customHeight="1" x14ac:dyDescent="0.2">
      <c r="A108" s="3" t="s">
        <v>102</v>
      </c>
      <c r="B108" s="3">
        <f>Results!$O$6</f>
        <v>0</v>
      </c>
      <c r="C108" s="11">
        <v>2</v>
      </c>
      <c r="D108" s="3">
        <f t="shared" si="198"/>
        <v>0</v>
      </c>
      <c r="E108" s="3" t="s">
        <v>12</v>
      </c>
      <c r="F108" s="3">
        <f>Results!$O$11</f>
        <v>3</v>
      </c>
      <c r="G108" s="11">
        <v>3</v>
      </c>
      <c r="H108" s="3">
        <f t="shared" si="199"/>
        <v>9</v>
      </c>
      <c r="I108" s="3" t="s">
        <v>105</v>
      </c>
      <c r="J108" s="3">
        <f>Results!$O$16</f>
        <v>4</v>
      </c>
      <c r="K108" s="11">
        <v>1</v>
      </c>
      <c r="L108" s="3">
        <f t="shared" si="200"/>
        <v>4</v>
      </c>
      <c r="M108" s="3" t="s">
        <v>107</v>
      </c>
      <c r="N108" s="3">
        <f>Results!$O$21</f>
        <v>-3</v>
      </c>
      <c r="O108" s="11">
        <v>1</v>
      </c>
      <c r="P108" s="18">
        <f>N108*O108</f>
        <v>-3</v>
      </c>
      <c r="R108" s="3" t="s">
        <v>102</v>
      </c>
      <c r="S108" s="3">
        <f>Results!$O$6</f>
        <v>0</v>
      </c>
      <c r="T108" s="11">
        <v>2</v>
      </c>
      <c r="U108" s="3">
        <f t="shared" si="201"/>
        <v>0</v>
      </c>
      <c r="V108" s="3" t="s">
        <v>12</v>
      </c>
      <c r="W108" s="3">
        <f>Results!$O$11</f>
        <v>3</v>
      </c>
      <c r="X108" s="11">
        <v>3</v>
      </c>
      <c r="Y108" s="3">
        <f t="shared" si="202"/>
        <v>9</v>
      </c>
      <c r="Z108" s="3" t="s">
        <v>105</v>
      </c>
      <c r="AA108" s="3">
        <f>Results!$O$16</f>
        <v>4</v>
      </c>
      <c r="AB108" s="11">
        <v>1</v>
      </c>
      <c r="AC108" s="3">
        <f t="shared" si="203"/>
        <v>4</v>
      </c>
      <c r="AD108" s="3" t="s">
        <v>107</v>
      </c>
      <c r="AE108" s="3">
        <f>Results!$O$21</f>
        <v>-3</v>
      </c>
      <c r="AF108" s="11">
        <v>3</v>
      </c>
      <c r="AG108" s="18">
        <f>AE108*AF108</f>
        <v>-9</v>
      </c>
      <c r="AI108" s="3" t="s">
        <v>102</v>
      </c>
      <c r="AJ108" s="3">
        <f>Results!$O$6</f>
        <v>0</v>
      </c>
      <c r="AK108" s="11"/>
      <c r="AL108" s="3">
        <f t="shared" si="204"/>
        <v>0</v>
      </c>
      <c r="AM108" s="3" t="s">
        <v>12</v>
      </c>
      <c r="AN108" s="3">
        <f>Results!$O$11</f>
        <v>3</v>
      </c>
      <c r="AO108" s="11">
        <v>3</v>
      </c>
      <c r="AP108" s="3">
        <f t="shared" si="205"/>
        <v>9</v>
      </c>
      <c r="AQ108" s="3" t="s">
        <v>105</v>
      </c>
      <c r="AR108" s="3">
        <f>Results!$O$16</f>
        <v>4</v>
      </c>
      <c r="AS108" s="11">
        <v>1</v>
      </c>
      <c r="AT108" s="3">
        <f t="shared" si="206"/>
        <v>4</v>
      </c>
      <c r="AU108" s="3" t="s">
        <v>107</v>
      </c>
      <c r="AV108" s="3">
        <f>Results!$O$21</f>
        <v>-3</v>
      </c>
      <c r="AW108" s="11">
        <v>1</v>
      </c>
      <c r="AX108" s="18">
        <f>AV108*AW108</f>
        <v>-3</v>
      </c>
    </row>
    <row r="109" spans="1:50" ht="13.5" customHeight="1" x14ac:dyDescent="0.2">
      <c r="A109" s="14" t="s">
        <v>14</v>
      </c>
      <c r="B109" s="15" t="s">
        <v>51</v>
      </c>
      <c r="C109" s="16" t="s">
        <v>21</v>
      </c>
      <c r="D109" s="15" t="s">
        <v>49</v>
      </c>
      <c r="E109" s="15" t="s">
        <v>15</v>
      </c>
      <c r="F109" s="15" t="s">
        <v>51</v>
      </c>
      <c r="G109" s="16" t="s">
        <v>21</v>
      </c>
      <c r="H109" s="15" t="s">
        <v>49</v>
      </c>
      <c r="I109" s="15" t="s">
        <v>78</v>
      </c>
      <c r="J109" s="15" t="s">
        <v>51</v>
      </c>
      <c r="K109" s="16" t="s">
        <v>21</v>
      </c>
      <c r="L109" s="15" t="s">
        <v>49</v>
      </c>
      <c r="M109" s="15" t="s">
        <v>79</v>
      </c>
      <c r="N109" s="15" t="s">
        <v>51</v>
      </c>
      <c r="O109" s="16" t="s">
        <v>21</v>
      </c>
      <c r="P109" s="15" t="s">
        <v>49</v>
      </c>
      <c r="R109" s="14" t="s">
        <v>14</v>
      </c>
      <c r="S109" s="15" t="s">
        <v>51</v>
      </c>
      <c r="T109" s="16" t="s">
        <v>21</v>
      </c>
      <c r="U109" s="15" t="s">
        <v>49</v>
      </c>
      <c r="V109" s="15" t="s">
        <v>15</v>
      </c>
      <c r="W109" s="15" t="s">
        <v>51</v>
      </c>
      <c r="X109" s="16" t="s">
        <v>21</v>
      </c>
      <c r="Y109" s="15" t="s">
        <v>49</v>
      </c>
      <c r="Z109" s="15" t="s">
        <v>78</v>
      </c>
      <c r="AA109" s="15" t="s">
        <v>51</v>
      </c>
      <c r="AB109" s="16" t="s">
        <v>21</v>
      </c>
      <c r="AC109" s="15" t="s">
        <v>49</v>
      </c>
      <c r="AD109" s="15" t="s">
        <v>79</v>
      </c>
      <c r="AE109" s="15" t="s">
        <v>51</v>
      </c>
      <c r="AF109" s="16" t="s">
        <v>21</v>
      </c>
      <c r="AG109" s="15" t="s">
        <v>49</v>
      </c>
      <c r="AI109" s="14" t="s">
        <v>14</v>
      </c>
      <c r="AJ109" s="15" t="s">
        <v>51</v>
      </c>
      <c r="AK109" s="16" t="s">
        <v>21</v>
      </c>
      <c r="AL109" s="15" t="s">
        <v>49</v>
      </c>
      <c r="AM109" s="15" t="s">
        <v>15</v>
      </c>
      <c r="AN109" s="15" t="s">
        <v>51</v>
      </c>
      <c r="AO109" s="16" t="s">
        <v>21</v>
      </c>
      <c r="AP109" s="15" t="s">
        <v>49</v>
      </c>
      <c r="AQ109" s="15" t="s">
        <v>78</v>
      </c>
      <c r="AR109" s="15" t="s">
        <v>51</v>
      </c>
      <c r="AS109" s="16" t="s">
        <v>21</v>
      </c>
      <c r="AT109" s="15" t="s">
        <v>49</v>
      </c>
      <c r="AU109" s="15" t="s">
        <v>79</v>
      </c>
      <c r="AV109" s="15" t="s">
        <v>51</v>
      </c>
      <c r="AW109" s="16" t="s">
        <v>21</v>
      </c>
      <c r="AX109" s="15" t="s">
        <v>49</v>
      </c>
    </row>
    <row r="110" spans="1:50" ht="13.5" customHeight="1" x14ac:dyDescent="0.2">
      <c r="A110" s="3" t="s">
        <v>11</v>
      </c>
      <c r="B110" s="3">
        <f>Results!$O$23</f>
        <v>18</v>
      </c>
      <c r="C110" s="11">
        <v>3</v>
      </c>
      <c r="D110" s="3">
        <f t="shared" ref="D110:D113" si="207">B110*C110</f>
        <v>54</v>
      </c>
      <c r="E110" s="3" t="s">
        <v>57</v>
      </c>
      <c r="F110" s="3">
        <f>Results!$O$28</f>
        <v>2</v>
      </c>
      <c r="G110" s="11">
        <v>3</v>
      </c>
      <c r="H110" s="3">
        <f t="shared" ref="H110:H113" si="208">F110*G110</f>
        <v>6</v>
      </c>
      <c r="I110" s="3" t="s">
        <v>18</v>
      </c>
      <c r="J110" s="3">
        <f>Results!$O$33</f>
        <v>2</v>
      </c>
      <c r="K110" s="11">
        <v>3</v>
      </c>
      <c r="L110" s="3">
        <f t="shared" ref="L110:L113" si="209">J110*K110</f>
        <v>6</v>
      </c>
      <c r="M110" s="3" t="s">
        <v>17</v>
      </c>
      <c r="N110" s="3">
        <f>Results!$O$38</f>
        <v>2</v>
      </c>
      <c r="O110" s="11">
        <v>3</v>
      </c>
      <c r="P110" s="3">
        <f t="shared" ref="P110:P113" si="210">N110*O110</f>
        <v>6</v>
      </c>
      <c r="R110" s="3" t="s">
        <v>11</v>
      </c>
      <c r="S110" s="3">
        <f>Results!$O$23</f>
        <v>18</v>
      </c>
      <c r="T110" s="11">
        <v>3</v>
      </c>
      <c r="U110" s="3">
        <f t="shared" ref="U110:U113" si="211">S110*T110</f>
        <v>54</v>
      </c>
      <c r="V110" s="3" t="s">
        <v>57</v>
      </c>
      <c r="W110" s="3">
        <f>Results!$O$28</f>
        <v>2</v>
      </c>
      <c r="X110" s="11">
        <v>3</v>
      </c>
      <c r="Y110" s="3">
        <f t="shared" ref="Y110:Y113" si="212">W110*X110</f>
        <v>6</v>
      </c>
      <c r="Z110" s="3" t="s">
        <v>18</v>
      </c>
      <c r="AA110" s="3">
        <f>Results!$O$33</f>
        <v>2</v>
      </c>
      <c r="AB110" s="11">
        <v>3</v>
      </c>
      <c r="AC110" s="3">
        <f t="shared" ref="AC110:AC113" si="213">AA110*AB110</f>
        <v>6</v>
      </c>
      <c r="AD110" s="3" t="s">
        <v>17</v>
      </c>
      <c r="AE110" s="3">
        <f>Results!$O$38</f>
        <v>2</v>
      </c>
      <c r="AF110" s="11">
        <v>5</v>
      </c>
      <c r="AG110" s="3">
        <f t="shared" ref="AG110:AG113" si="214">AE110*AF110</f>
        <v>10</v>
      </c>
      <c r="AI110" s="3" t="s">
        <v>11</v>
      </c>
      <c r="AJ110" s="3">
        <f>Results!$O$23</f>
        <v>18</v>
      </c>
      <c r="AK110" s="11">
        <v>3</v>
      </c>
      <c r="AL110" s="3">
        <f t="shared" ref="AL110:AL113" si="215">AJ110*AK110</f>
        <v>54</v>
      </c>
      <c r="AM110" s="3" t="s">
        <v>57</v>
      </c>
      <c r="AN110" s="3">
        <f>Results!$O$28</f>
        <v>2</v>
      </c>
      <c r="AO110" s="11">
        <v>3</v>
      </c>
      <c r="AP110" s="3">
        <f t="shared" ref="AP110:AP113" si="216">AN110*AO110</f>
        <v>6</v>
      </c>
      <c r="AQ110" s="3" t="s">
        <v>18</v>
      </c>
      <c r="AR110" s="3">
        <f>Results!$O$33</f>
        <v>2</v>
      </c>
      <c r="AS110" s="11">
        <v>3</v>
      </c>
      <c r="AT110" s="3">
        <f t="shared" ref="AT110:AT113" si="217">AR110*AS110</f>
        <v>6</v>
      </c>
      <c r="AU110" s="3" t="s">
        <v>17</v>
      </c>
      <c r="AV110" s="3">
        <f>Results!$O$38</f>
        <v>2</v>
      </c>
      <c r="AW110" s="11">
        <v>3</v>
      </c>
      <c r="AX110" s="3">
        <f t="shared" ref="AX110:AX113" si="218">AV110*AW110</f>
        <v>6</v>
      </c>
    </row>
    <row r="111" spans="1:50" ht="13.5" customHeight="1" x14ac:dyDescent="0.2">
      <c r="A111" s="3" t="s">
        <v>108</v>
      </c>
      <c r="B111" s="3">
        <f>Results!$O$24</f>
        <v>-5</v>
      </c>
      <c r="C111" s="11"/>
      <c r="D111" s="3">
        <f t="shared" si="207"/>
        <v>0</v>
      </c>
      <c r="E111" s="3" t="s">
        <v>75</v>
      </c>
      <c r="F111" s="3">
        <f>Results!$O$29</f>
        <v>5</v>
      </c>
      <c r="G111" s="11">
        <v>1</v>
      </c>
      <c r="H111" s="3">
        <f t="shared" si="208"/>
        <v>5</v>
      </c>
      <c r="I111" s="3" t="s">
        <v>111</v>
      </c>
      <c r="J111" s="3">
        <f>Results!$O$34</f>
        <v>2</v>
      </c>
      <c r="K111" s="11">
        <v>2</v>
      </c>
      <c r="L111" s="3">
        <f t="shared" si="209"/>
        <v>4</v>
      </c>
      <c r="M111" s="3" t="s">
        <v>113</v>
      </c>
      <c r="N111" s="3">
        <f>Results!$O$39</f>
        <v>2</v>
      </c>
      <c r="O111" s="11"/>
      <c r="P111" s="3">
        <f t="shared" si="210"/>
        <v>0</v>
      </c>
      <c r="R111" s="3" t="s">
        <v>108</v>
      </c>
      <c r="S111" s="3">
        <f>Results!$O$24</f>
        <v>-5</v>
      </c>
      <c r="T111" s="11"/>
      <c r="U111" s="3">
        <f t="shared" si="211"/>
        <v>0</v>
      </c>
      <c r="V111" s="3" t="s">
        <v>75</v>
      </c>
      <c r="W111" s="3">
        <f>Results!$O$29</f>
        <v>5</v>
      </c>
      <c r="X111" s="11">
        <v>1</v>
      </c>
      <c r="Y111" s="3">
        <f t="shared" si="212"/>
        <v>5</v>
      </c>
      <c r="Z111" s="3" t="s">
        <v>111</v>
      </c>
      <c r="AA111" s="3">
        <f>Results!$O$34</f>
        <v>2</v>
      </c>
      <c r="AB111" s="11">
        <v>1</v>
      </c>
      <c r="AC111" s="3">
        <f t="shared" si="213"/>
        <v>2</v>
      </c>
      <c r="AD111" s="3" t="s">
        <v>113</v>
      </c>
      <c r="AE111" s="3">
        <f>Results!$O$39</f>
        <v>2</v>
      </c>
      <c r="AF111" s="11">
        <v>2</v>
      </c>
      <c r="AG111" s="3">
        <f t="shared" si="214"/>
        <v>4</v>
      </c>
      <c r="AI111" s="3" t="s">
        <v>108</v>
      </c>
      <c r="AJ111" s="3">
        <f>Results!$O$24</f>
        <v>-5</v>
      </c>
      <c r="AK111" s="11"/>
      <c r="AL111" s="3">
        <f t="shared" si="215"/>
        <v>0</v>
      </c>
      <c r="AM111" s="3" t="s">
        <v>75</v>
      </c>
      <c r="AN111" s="3">
        <f>Results!$O$29</f>
        <v>5</v>
      </c>
      <c r="AO111" s="11">
        <v>2</v>
      </c>
      <c r="AP111" s="3">
        <f t="shared" si="216"/>
        <v>10</v>
      </c>
      <c r="AQ111" s="3" t="s">
        <v>111</v>
      </c>
      <c r="AR111" s="3">
        <f>Results!$O$34</f>
        <v>2</v>
      </c>
      <c r="AS111" s="11">
        <v>2</v>
      </c>
      <c r="AT111" s="3">
        <f t="shared" si="217"/>
        <v>4</v>
      </c>
      <c r="AU111" s="3" t="s">
        <v>113</v>
      </c>
      <c r="AV111" s="3">
        <f>Results!$O$39</f>
        <v>2</v>
      </c>
      <c r="AW111" s="11"/>
      <c r="AX111" s="3">
        <f t="shared" si="218"/>
        <v>0</v>
      </c>
    </row>
    <row r="112" spans="1:50" ht="13.5" customHeight="1" x14ac:dyDescent="0.2">
      <c r="A112" s="3" t="s">
        <v>109</v>
      </c>
      <c r="B112" s="3">
        <f>Results!$O$25</f>
        <v>4</v>
      </c>
      <c r="C112" s="11">
        <v>1</v>
      </c>
      <c r="D112" s="3">
        <f t="shared" si="207"/>
        <v>4</v>
      </c>
      <c r="E112" s="3" t="s">
        <v>110</v>
      </c>
      <c r="F112" s="3">
        <f>Results!$O$30</f>
        <v>14</v>
      </c>
      <c r="G112" s="11">
        <v>2</v>
      </c>
      <c r="H112" s="3">
        <f t="shared" si="208"/>
        <v>28</v>
      </c>
      <c r="I112" s="3" t="s">
        <v>67</v>
      </c>
      <c r="J112" s="3">
        <f>Results!$O$35</f>
        <v>4</v>
      </c>
      <c r="K112" s="11">
        <v>1</v>
      </c>
      <c r="L112" s="3">
        <f t="shared" si="209"/>
        <v>4</v>
      </c>
      <c r="M112" s="3" t="s">
        <v>70</v>
      </c>
      <c r="N112" s="3">
        <f>Results!$O$40</f>
        <v>3</v>
      </c>
      <c r="O112" s="11">
        <v>1</v>
      </c>
      <c r="P112" s="3">
        <f t="shared" si="210"/>
        <v>3</v>
      </c>
      <c r="R112" s="3" t="s">
        <v>109</v>
      </c>
      <c r="S112" s="3">
        <f>Results!$O$25</f>
        <v>4</v>
      </c>
      <c r="T112" s="11">
        <v>1</v>
      </c>
      <c r="U112" s="3">
        <f t="shared" si="211"/>
        <v>4</v>
      </c>
      <c r="V112" s="3" t="s">
        <v>110</v>
      </c>
      <c r="W112" s="3">
        <f>Results!$O$30</f>
        <v>14</v>
      </c>
      <c r="X112" s="11">
        <v>2</v>
      </c>
      <c r="Y112" s="3">
        <f t="shared" si="212"/>
        <v>28</v>
      </c>
      <c r="Z112" s="3" t="s">
        <v>67</v>
      </c>
      <c r="AA112" s="3">
        <f>Results!$O$35</f>
        <v>4</v>
      </c>
      <c r="AB112" s="11">
        <v>2</v>
      </c>
      <c r="AC112" s="3">
        <f t="shared" si="213"/>
        <v>8</v>
      </c>
      <c r="AD112" s="3" t="s">
        <v>70</v>
      </c>
      <c r="AE112" s="3">
        <f>Results!$O$40</f>
        <v>3</v>
      </c>
      <c r="AF112" s="11">
        <v>1</v>
      </c>
      <c r="AG112" s="3">
        <f t="shared" si="214"/>
        <v>3</v>
      </c>
      <c r="AI112" s="3" t="s">
        <v>109</v>
      </c>
      <c r="AJ112" s="3">
        <f>Results!$O$25</f>
        <v>4</v>
      </c>
      <c r="AK112" s="11">
        <v>1</v>
      </c>
      <c r="AL112" s="3">
        <f t="shared" si="215"/>
        <v>4</v>
      </c>
      <c r="AM112" s="3" t="s">
        <v>110</v>
      </c>
      <c r="AN112" s="3">
        <f>Results!$O$30</f>
        <v>14</v>
      </c>
      <c r="AO112" s="11">
        <v>1</v>
      </c>
      <c r="AP112" s="3">
        <f t="shared" si="216"/>
        <v>14</v>
      </c>
      <c r="AQ112" s="3" t="s">
        <v>67</v>
      </c>
      <c r="AR112" s="3">
        <f>Results!$O$35</f>
        <v>4</v>
      </c>
      <c r="AS112" s="11"/>
      <c r="AT112" s="3">
        <f t="shared" si="217"/>
        <v>0</v>
      </c>
      <c r="AU112" s="3" t="s">
        <v>70</v>
      </c>
      <c r="AV112" s="3">
        <f>Results!$O$40</f>
        <v>3</v>
      </c>
      <c r="AW112" s="11">
        <v>1</v>
      </c>
      <c r="AX112" s="3">
        <f t="shared" si="218"/>
        <v>3</v>
      </c>
    </row>
    <row r="113" spans="1:50" ht="13" customHeight="1" x14ac:dyDescent="0.2">
      <c r="A113" s="24" t="s">
        <v>91</v>
      </c>
      <c r="B113" s="24">
        <f>Results!$O$26</f>
        <v>-2</v>
      </c>
      <c r="C113" s="25">
        <v>2</v>
      </c>
      <c r="D113" s="24">
        <f t="shared" si="207"/>
        <v>-4</v>
      </c>
      <c r="E113" s="24" t="s">
        <v>73</v>
      </c>
      <c r="F113" s="24">
        <f>Results!$O$31</f>
        <v>-4</v>
      </c>
      <c r="G113" s="25"/>
      <c r="H113" s="24">
        <f t="shared" si="208"/>
        <v>0</v>
      </c>
      <c r="I113" s="24" t="s">
        <v>112</v>
      </c>
      <c r="J113" s="24">
        <f>Results!$O$36</f>
        <v>5</v>
      </c>
      <c r="K113" s="25"/>
      <c r="L113" s="24">
        <f t="shared" si="209"/>
        <v>0</v>
      </c>
      <c r="M113" s="24" t="s">
        <v>84</v>
      </c>
      <c r="N113" s="24">
        <f>Results!$O$41</f>
        <v>4</v>
      </c>
      <c r="O113" s="25">
        <v>2</v>
      </c>
      <c r="P113" s="24">
        <f t="shared" si="210"/>
        <v>8</v>
      </c>
      <c r="R113" s="24" t="s">
        <v>91</v>
      </c>
      <c r="S113" s="24">
        <f>Results!$O$26</f>
        <v>-2</v>
      </c>
      <c r="T113" s="25">
        <v>2</v>
      </c>
      <c r="U113" s="24">
        <f t="shared" si="211"/>
        <v>-4</v>
      </c>
      <c r="V113" s="24" t="s">
        <v>73</v>
      </c>
      <c r="W113" s="24">
        <f>Results!$O$31</f>
        <v>-4</v>
      </c>
      <c r="X113" s="25"/>
      <c r="Y113" s="24">
        <f t="shared" si="212"/>
        <v>0</v>
      </c>
      <c r="Z113" s="24" t="s">
        <v>112</v>
      </c>
      <c r="AA113" s="24">
        <f>Results!$O$36</f>
        <v>5</v>
      </c>
      <c r="AB113" s="25"/>
      <c r="AC113" s="24">
        <f t="shared" si="213"/>
        <v>0</v>
      </c>
      <c r="AD113" s="24" t="s">
        <v>84</v>
      </c>
      <c r="AE113" s="24">
        <f>Results!$O$41</f>
        <v>4</v>
      </c>
      <c r="AF113" s="25">
        <v>3</v>
      </c>
      <c r="AG113" s="24">
        <f t="shared" si="214"/>
        <v>12</v>
      </c>
      <c r="AI113" s="24" t="s">
        <v>91</v>
      </c>
      <c r="AJ113" s="24">
        <f>Results!$O$26</f>
        <v>-2</v>
      </c>
      <c r="AK113" s="25">
        <v>2</v>
      </c>
      <c r="AL113" s="24">
        <f t="shared" si="215"/>
        <v>-4</v>
      </c>
      <c r="AM113" s="24" t="s">
        <v>73</v>
      </c>
      <c r="AN113" s="24">
        <f>Results!$O$31</f>
        <v>-4</v>
      </c>
      <c r="AO113" s="25"/>
      <c r="AP113" s="24">
        <f t="shared" si="216"/>
        <v>0</v>
      </c>
      <c r="AQ113" s="24" t="s">
        <v>112</v>
      </c>
      <c r="AR113" s="24">
        <f>Results!$O$36</f>
        <v>5</v>
      </c>
      <c r="AS113" s="25">
        <v>1</v>
      </c>
      <c r="AT113" s="24">
        <f t="shared" si="217"/>
        <v>5</v>
      </c>
      <c r="AU113" s="24" t="s">
        <v>84</v>
      </c>
      <c r="AV113" s="24">
        <f>Results!$O$41</f>
        <v>4</v>
      </c>
      <c r="AW113" s="25">
        <v>2</v>
      </c>
      <c r="AX113" s="24">
        <f t="shared" si="218"/>
        <v>8</v>
      </c>
    </row>
    <row r="114" spans="1:50" ht="13.5" customHeight="1" x14ac:dyDescent="0.2">
      <c r="A114" s="14" t="s">
        <v>97</v>
      </c>
      <c r="B114" s="15" t="s">
        <v>51</v>
      </c>
      <c r="C114" s="16" t="s">
        <v>21</v>
      </c>
      <c r="D114" s="15" t="s">
        <v>49</v>
      </c>
      <c r="E114" s="15" t="s">
        <v>98</v>
      </c>
      <c r="F114" s="15" t="s">
        <v>51</v>
      </c>
      <c r="G114" s="16" t="s">
        <v>21</v>
      </c>
      <c r="H114" s="15" t="s">
        <v>49</v>
      </c>
      <c r="I114" s="15" t="s">
        <v>99</v>
      </c>
      <c r="J114" s="15" t="s">
        <v>51</v>
      </c>
      <c r="K114" s="16" t="s">
        <v>21</v>
      </c>
      <c r="L114" s="15" t="s">
        <v>49</v>
      </c>
      <c r="M114" s="15" t="s">
        <v>100</v>
      </c>
      <c r="N114" s="15" t="s">
        <v>51</v>
      </c>
      <c r="O114" s="16" t="s">
        <v>21</v>
      </c>
      <c r="P114" s="15" t="s">
        <v>49</v>
      </c>
      <c r="R114" s="14" t="s">
        <v>97</v>
      </c>
      <c r="S114" s="15" t="s">
        <v>51</v>
      </c>
      <c r="T114" s="16" t="s">
        <v>21</v>
      </c>
      <c r="U114" s="15" t="s">
        <v>49</v>
      </c>
      <c r="V114" s="15" t="s">
        <v>98</v>
      </c>
      <c r="W114" s="15" t="s">
        <v>51</v>
      </c>
      <c r="X114" s="16" t="s">
        <v>21</v>
      </c>
      <c r="Y114" s="15" t="s">
        <v>49</v>
      </c>
      <c r="Z114" s="15" t="s">
        <v>99</v>
      </c>
      <c r="AA114" s="15" t="s">
        <v>51</v>
      </c>
      <c r="AB114" s="16" t="s">
        <v>21</v>
      </c>
      <c r="AC114" s="15" t="s">
        <v>49</v>
      </c>
      <c r="AD114" s="15" t="s">
        <v>100</v>
      </c>
      <c r="AE114" s="15" t="s">
        <v>51</v>
      </c>
      <c r="AF114" s="16" t="s">
        <v>21</v>
      </c>
      <c r="AG114" s="15" t="s">
        <v>49</v>
      </c>
      <c r="AI114" s="14" t="s">
        <v>97</v>
      </c>
      <c r="AJ114" s="15" t="s">
        <v>51</v>
      </c>
      <c r="AK114" s="16" t="s">
        <v>21</v>
      </c>
      <c r="AL114" s="15" t="s">
        <v>49</v>
      </c>
      <c r="AM114" s="15" t="s">
        <v>98</v>
      </c>
      <c r="AN114" s="15" t="s">
        <v>51</v>
      </c>
      <c r="AO114" s="16" t="s">
        <v>21</v>
      </c>
      <c r="AP114" s="15" t="s">
        <v>49</v>
      </c>
      <c r="AQ114" s="15" t="s">
        <v>99</v>
      </c>
      <c r="AR114" s="15" t="s">
        <v>51</v>
      </c>
      <c r="AS114" s="16" t="s">
        <v>21</v>
      </c>
      <c r="AT114" s="15" t="s">
        <v>49</v>
      </c>
      <c r="AU114" s="15" t="s">
        <v>100</v>
      </c>
      <c r="AV114" s="15" t="s">
        <v>51</v>
      </c>
      <c r="AW114" s="16" t="s">
        <v>21</v>
      </c>
      <c r="AX114" s="15" t="s">
        <v>49</v>
      </c>
    </row>
    <row r="115" spans="1:50" ht="13.5" customHeight="1" x14ac:dyDescent="0.2">
      <c r="A115" s="3" t="s">
        <v>8</v>
      </c>
      <c r="B115" s="3">
        <f>Results!$O$43</f>
        <v>10</v>
      </c>
      <c r="C115" s="11">
        <v>5</v>
      </c>
      <c r="D115" s="3">
        <f t="shared" ref="D115:D118" si="219">B115*C115</f>
        <v>50</v>
      </c>
      <c r="E115" s="3" t="s">
        <v>69</v>
      </c>
      <c r="F115" s="3">
        <f>Results!$O$48</f>
        <v>11</v>
      </c>
      <c r="G115" s="11">
        <v>3</v>
      </c>
      <c r="H115" s="3">
        <f t="shared" ref="H115:H118" si="220">F115*G115</f>
        <v>33</v>
      </c>
      <c r="I115" s="3" t="s">
        <v>19</v>
      </c>
      <c r="J115" s="3">
        <f>Results!$O$53</f>
        <v>1</v>
      </c>
      <c r="K115" s="11">
        <v>3</v>
      </c>
      <c r="L115" s="3">
        <f t="shared" ref="L115:L118" si="221">J115*K115</f>
        <v>3</v>
      </c>
      <c r="M115" s="3" t="s">
        <v>10</v>
      </c>
      <c r="N115" s="3">
        <f>Results!$O$58</f>
        <v>11</v>
      </c>
      <c r="O115" s="11">
        <v>3</v>
      </c>
      <c r="P115" s="3">
        <f t="shared" ref="P115:P118" si="222">N115*O115</f>
        <v>33</v>
      </c>
      <c r="R115" s="3" t="s">
        <v>8</v>
      </c>
      <c r="S115" s="3">
        <f>Results!$O$43</f>
        <v>10</v>
      </c>
      <c r="T115" s="11">
        <v>3</v>
      </c>
      <c r="U115" s="3">
        <f t="shared" ref="U115:U118" si="223">S115*T115</f>
        <v>30</v>
      </c>
      <c r="V115" s="3" t="s">
        <v>69</v>
      </c>
      <c r="W115" s="3">
        <f>Results!$O$48</f>
        <v>11</v>
      </c>
      <c r="X115" s="11">
        <v>3</v>
      </c>
      <c r="Y115" s="3">
        <f t="shared" ref="Y115:Y118" si="224">W115*X115</f>
        <v>33</v>
      </c>
      <c r="Z115" s="3" t="s">
        <v>19</v>
      </c>
      <c r="AA115" s="3">
        <f>Results!$O$53</f>
        <v>1</v>
      </c>
      <c r="AB115" s="11">
        <v>3</v>
      </c>
      <c r="AC115" s="3">
        <f t="shared" ref="AC115:AC118" si="225">AA115*AB115</f>
        <v>3</v>
      </c>
      <c r="AD115" s="3" t="s">
        <v>10</v>
      </c>
      <c r="AE115" s="3">
        <f>Results!$O$58</f>
        <v>11</v>
      </c>
      <c r="AF115" s="11">
        <v>3</v>
      </c>
      <c r="AG115" s="3">
        <f t="shared" ref="AG115:AG118" si="226">AE115*AF115</f>
        <v>33</v>
      </c>
      <c r="AI115" s="3" t="s">
        <v>8</v>
      </c>
      <c r="AJ115" s="3">
        <f>Results!$O$43</f>
        <v>10</v>
      </c>
      <c r="AK115" s="11">
        <v>5</v>
      </c>
      <c r="AL115" s="3">
        <f t="shared" ref="AL115:AL118" si="227">AJ115*AK115</f>
        <v>50</v>
      </c>
      <c r="AM115" s="3" t="s">
        <v>69</v>
      </c>
      <c r="AN115" s="3">
        <f>Results!$O$48</f>
        <v>11</v>
      </c>
      <c r="AO115" s="11">
        <v>3</v>
      </c>
      <c r="AP115" s="3">
        <f t="shared" ref="AP115:AP118" si="228">AN115*AO115</f>
        <v>33</v>
      </c>
      <c r="AQ115" s="3" t="s">
        <v>19</v>
      </c>
      <c r="AR115" s="3">
        <f>Results!$O$53</f>
        <v>1</v>
      </c>
      <c r="AS115" s="11">
        <v>3</v>
      </c>
      <c r="AT115" s="3">
        <f t="shared" ref="AT115:AT118" si="229">AR115*AS115</f>
        <v>3</v>
      </c>
      <c r="AU115" s="3" t="s">
        <v>10</v>
      </c>
      <c r="AV115" s="3">
        <f>Results!$O$58</f>
        <v>11</v>
      </c>
      <c r="AW115" s="11">
        <v>3</v>
      </c>
      <c r="AX115" s="3">
        <f t="shared" ref="AX115:AX118" si="230">AV115*AW115</f>
        <v>33</v>
      </c>
    </row>
    <row r="116" spans="1:50" ht="13.5" customHeight="1" x14ac:dyDescent="0.2">
      <c r="A116" s="3" t="s">
        <v>66</v>
      </c>
      <c r="B116" s="3">
        <f>Results!$O$44</f>
        <v>-1</v>
      </c>
      <c r="C116" s="11">
        <v>2</v>
      </c>
      <c r="D116" s="3">
        <f t="shared" si="219"/>
        <v>-2</v>
      </c>
      <c r="E116" s="3" t="s">
        <v>116</v>
      </c>
      <c r="F116" s="3">
        <f>Results!$O$49</f>
        <v>-3</v>
      </c>
      <c r="G116" s="11"/>
      <c r="H116" s="3">
        <f t="shared" si="220"/>
        <v>0</v>
      </c>
      <c r="I116" s="3" t="s">
        <v>119</v>
      </c>
      <c r="J116" s="3">
        <f>Results!$O$54</f>
        <v>3</v>
      </c>
      <c r="K116" s="11"/>
      <c r="L116" s="3">
        <f t="shared" si="221"/>
        <v>0</v>
      </c>
      <c r="M116" s="3" t="s">
        <v>16</v>
      </c>
      <c r="N116" s="3">
        <f>Results!$O$59</f>
        <v>0</v>
      </c>
      <c r="O116" s="11">
        <v>2</v>
      </c>
      <c r="P116" s="3">
        <f t="shared" si="222"/>
        <v>0</v>
      </c>
      <c r="R116" s="3" t="s">
        <v>66</v>
      </c>
      <c r="S116" s="3">
        <f>Results!$O$44</f>
        <v>-1</v>
      </c>
      <c r="T116" s="11">
        <v>1</v>
      </c>
      <c r="U116" s="3">
        <f t="shared" si="223"/>
        <v>-1</v>
      </c>
      <c r="V116" s="3" t="s">
        <v>116</v>
      </c>
      <c r="W116" s="3">
        <f>Results!$O$49</f>
        <v>-3</v>
      </c>
      <c r="X116" s="11">
        <v>1</v>
      </c>
      <c r="Y116" s="3">
        <f t="shared" si="224"/>
        <v>-3</v>
      </c>
      <c r="Z116" s="3" t="s">
        <v>119</v>
      </c>
      <c r="AA116" s="3">
        <f>Results!$O$54</f>
        <v>3</v>
      </c>
      <c r="AB116" s="11"/>
      <c r="AC116" s="3">
        <f t="shared" si="225"/>
        <v>0</v>
      </c>
      <c r="AD116" s="3" t="s">
        <v>16</v>
      </c>
      <c r="AE116" s="3">
        <f>Results!$O$59</f>
        <v>0</v>
      </c>
      <c r="AF116" s="11">
        <v>2</v>
      </c>
      <c r="AG116" s="3">
        <f t="shared" si="226"/>
        <v>0</v>
      </c>
      <c r="AI116" s="3" t="s">
        <v>66</v>
      </c>
      <c r="AJ116" s="3">
        <f>Results!$O$44</f>
        <v>-1</v>
      </c>
      <c r="AK116" s="11">
        <v>2</v>
      </c>
      <c r="AL116" s="3">
        <f t="shared" si="227"/>
        <v>-2</v>
      </c>
      <c r="AM116" s="3" t="s">
        <v>116</v>
      </c>
      <c r="AN116" s="3">
        <f>Results!$O$49</f>
        <v>-3</v>
      </c>
      <c r="AO116" s="11">
        <v>1</v>
      </c>
      <c r="AP116" s="3">
        <f t="shared" si="228"/>
        <v>-3</v>
      </c>
      <c r="AQ116" s="3" t="s">
        <v>119</v>
      </c>
      <c r="AR116" s="3">
        <f>Results!$O$54</f>
        <v>3</v>
      </c>
      <c r="AS116" s="11"/>
      <c r="AT116" s="3">
        <f t="shared" si="229"/>
        <v>0</v>
      </c>
      <c r="AU116" s="3" t="s">
        <v>16</v>
      </c>
      <c r="AV116" s="3">
        <f>Results!$O$59</f>
        <v>0</v>
      </c>
      <c r="AW116" s="11">
        <v>2</v>
      </c>
      <c r="AX116" s="3">
        <f t="shared" si="230"/>
        <v>0</v>
      </c>
    </row>
    <row r="117" spans="1:50" ht="13.5" customHeight="1" x14ac:dyDescent="0.2">
      <c r="A117" s="3" t="s">
        <v>114</v>
      </c>
      <c r="B117" s="3">
        <f>Results!$O$45</f>
        <v>-3</v>
      </c>
      <c r="C117" s="11">
        <v>1</v>
      </c>
      <c r="D117" s="3">
        <f t="shared" si="219"/>
        <v>-3</v>
      </c>
      <c r="E117" s="3" t="s">
        <v>117</v>
      </c>
      <c r="F117" s="3">
        <f>Results!$O$50</f>
        <v>9</v>
      </c>
      <c r="G117" s="11">
        <v>2</v>
      </c>
      <c r="H117" s="3">
        <f t="shared" si="220"/>
        <v>18</v>
      </c>
      <c r="I117" s="3" t="s">
        <v>120</v>
      </c>
      <c r="J117" s="3">
        <f>Results!$O$55</f>
        <v>-2</v>
      </c>
      <c r="K117" s="11">
        <v>1</v>
      </c>
      <c r="L117" s="3">
        <f t="shared" si="221"/>
        <v>-2</v>
      </c>
      <c r="M117" s="3" t="s">
        <v>83</v>
      </c>
      <c r="N117" s="3">
        <f>Results!$O$60</f>
        <v>6</v>
      </c>
      <c r="O117" s="11">
        <v>1</v>
      </c>
      <c r="P117" s="3">
        <f t="shared" si="222"/>
        <v>6</v>
      </c>
      <c r="R117" s="3" t="s">
        <v>114</v>
      </c>
      <c r="S117" s="3">
        <f>Results!$O$45</f>
        <v>-3</v>
      </c>
      <c r="T117" s="11"/>
      <c r="U117" s="3">
        <f t="shared" si="223"/>
        <v>0</v>
      </c>
      <c r="V117" s="3" t="s">
        <v>117</v>
      </c>
      <c r="W117" s="3">
        <f>Results!$O$50</f>
        <v>9</v>
      </c>
      <c r="X117" s="11">
        <v>2</v>
      </c>
      <c r="Y117" s="3">
        <f t="shared" si="224"/>
        <v>18</v>
      </c>
      <c r="Z117" s="3" t="s">
        <v>120</v>
      </c>
      <c r="AA117" s="3">
        <f>Results!$O$55</f>
        <v>-2</v>
      </c>
      <c r="AB117" s="11">
        <v>1</v>
      </c>
      <c r="AC117" s="3">
        <f t="shared" si="225"/>
        <v>-2</v>
      </c>
      <c r="AD117" s="3" t="s">
        <v>83</v>
      </c>
      <c r="AE117" s="3">
        <f>Results!$O$60</f>
        <v>6</v>
      </c>
      <c r="AF117" s="11">
        <v>1</v>
      </c>
      <c r="AG117" s="3">
        <f t="shared" si="226"/>
        <v>6</v>
      </c>
      <c r="AI117" s="3" t="s">
        <v>114</v>
      </c>
      <c r="AJ117" s="3">
        <f>Results!$O$45</f>
        <v>-3</v>
      </c>
      <c r="AK117" s="11">
        <v>1</v>
      </c>
      <c r="AL117" s="3">
        <f t="shared" si="227"/>
        <v>-3</v>
      </c>
      <c r="AM117" s="3" t="s">
        <v>117</v>
      </c>
      <c r="AN117" s="3">
        <f>Results!$O$50</f>
        <v>9</v>
      </c>
      <c r="AO117" s="11">
        <v>2</v>
      </c>
      <c r="AP117" s="3">
        <f t="shared" si="228"/>
        <v>18</v>
      </c>
      <c r="AQ117" s="3" t="s">
        <v>120</v>
      </c>
      <c r="AR117" s="3">
        <f>Results!$O$55</f>
        <v>-2</v>
      </c>
      <c r="AS117" s="11">
        <v>1</v>
      </c>
      <c r="AT117" s="3">
        <f t="shared" si="229"/>
        <v>-2</v>
      </c>
      <c r="AU117" s="3" t="s">
        <v>83</v>
      </c>
      <c r="AV117" s="3">
        <f>Results!$O$60</f>
        <v>6</v>
      </c>
      <c r="AW117" s="11">
        <v>1</v>
      </c>
      <c r="AX117" s="3">
        <f t="shared" si="230"/>
        <v>6</v>
      </c>
    </row>
    <row r="118" spans="1:50" ht="13.5" customHeight="1" thickBot="1" x14ac:dyDescent="0.25">
      <c r="A118" s="19" t="s">
        <v>115</v>
      </c>
      <c r="B118" s="19">
        <f>Results!$O$46</f>
        <v>12</v>
      </c>
      <c r="C118" s="20">
        <v>3</v>
      </c>
      <c r="D118" s="19">
        <f t="shared" si="219"/>
        <v>36</v>
      </c>
      <c r="E118" s="19" t="s">
        <v>118</v>
      </c>
      <c r="F118" s="19">
        <f>Results!$O$51</f>
        <v>-1</v>
      </c>
      <c r="G118" s="20">
        <v>1</v>
      </c>
      <c r="H118" s="19">
        <f t="shared" si="220"/>
        <v>-1</v>
      </c>
      <c r="I118" s="19" t="s">
        <v>121</v>
      </c>
      <c r="J118" s="19">
        <f>Results!$O$56</f>
        <v>9</v>
      </c>
      <c r="K118" s="20">
        <v>2</v>
      </c>
      <c r="L118" s="19">
        <f t="shared" si="221"/>
        <v>18</v>
      </c>
      <c r="M118" s="19" t="s">
        <v>122</v>
      </c>
      <c r="N118" s="19">
        <f>Results!$O$61</f>
        <v>-3</v>
      </c>
      <c r="O118" s="20"/>
      <c r="P118" s="19">
        <f t="shared" si="222"/>
        <v>0</v>
      </c>
      <c r="R118" s="19" t="s">
        <v>115</v>
      </c>
      <c r="S118" s="19">
        <f>Results!$O$46</f>
        <v>12</v>
      </c>
      <c r="T118" s="20">
        <v>2</v>
      </c>
      <c r="U118" s="19">
        <f t="shared" si="223"/>
        <v>24</v>
      </c>
      <c r="V118" s="19" t="s">
        <v>118</v>
      </c>
      <c r="W118" s="19">
        <f>Results!$O$51</f>
        <v>-1</v>
      </c>
      <c r="X118" s="20"/>
      <c r="Y118" s="19">
        <f t="shared" si="224"/>
        <v>0</v>
      </c>
      <c r="Z118" s="19" t="s">
        <v>121</v>
      </c>
      <c r="AA118" s="19">
        <f>Results!$O$56</f>
        <v>9</v>
      </c>
      <c r="AB118" s="20">
        <v>2</v>
      </c>
      <c r="AC118" s="19">
        <f t="shared" si="225"/>
        <v>18</v>
      </c>
      <c r="AD118" s="19" t="s">
        <v>122</v>
      </c>
      <c r="AE118" s="19">
        <f>Results!$O$61</f>
        <v>-3</v>
      </c>
      <c r="AF118" s="20"/>
      <c r="AG118" s="19">
        <f t="shared" si="226"/>
        <v>0</v>
      </c>
      <c r="AI118" s="19" t="s">
        <v>115</v>
      </c>
      <c r="AJ118" s="19">
        <f>Results!$O$46</f>
        <v>12</v>
      </c>
      <c r="AK118" s="20">
        <v>3</v>
      </c>
      <c r="AL118" s="19">
        <f t="shared" si="227"/>
        <v>36</v>
      </c>
      <c r="AM118" s="19" t="s">
        <v>118</v>
      </c>
      <c r="AN118" s="19">
        <f>Results!$O$51</f>
        <v>-1</v>
      </c>
      <c r="AO118" s="20"/>
      <c r="AP118" s="19">
        <f t="shared" si="228"/>
        <v>0</v>
      </c>
      <c r="AQ118" s="19" t="s">
        <v>121</v>
      </c>
      <c r="AR118" s="19">
        <f>Results!$O$56</f>
        <v>9</v>
      </c>
      <c r="AS118" s="20">
        <v>2</v>
      </c>
      <c r="AT118" s="19">
        <f t="shared" si="229"/>
        <v>18</v>
      </c>
      <c r="AU118" s="19" t="s">
        <v>122</v>
      </c>
      <c r="AV118" s="19">
        <f>Results!$O$61</f>
        <v>-3</v>
      </c>
      <c r="AW118" s="20"/>
      <c r="AX118" s="19">
        <f t="shared" si="230"/>
        <v>0</v>
      </c>
    </row>
    <row r="119" spans="1:50" s="27" customFormat="1" ht="13.5" customHeight="1" thickBot="1" x14ac:dyDescent="0.25">
      <c r="A119" s="28"/>
      <c r="B119" s="28"/>
      <c r="C119" s="29"/>
      <c r="D119" s="28"/>
      <c r="E119" s="28"/>
      <c r="F119" s="28"/>
      <c r="G119" s="29"/>
      <c r="H119" s="28"/>
      <c r="I119" s="28"/>
      <c r="J119" s="28"/>
      <c r="K119" s="29"/>
      <c r="L119" s="28"/>
      <c r="M119" s="28"/>
      <c r="N119" s="28"/>
      <c r="O119" s="29"/>
      <c r="P119" s="30"/>
      <c r="R119" s="28"/>
      <c r="S119" s="28"/>
      <c r="T119" s="29"/>
      <c r="U119" s="28"/>
      <c r="V119" s="28"/>
      <c r="W119" s="28"/>
      <c r="X119" s="29"/>
      <c r="Y119" s="28"/>
      <c r="Z119" s="28"/>
      <c r="AA119" s="28"/>
      <c r="AB119" s="29"/>
      <c r="AC119" s="28"/>
      <c r="AD119" s="28"/>
      <c r="AE119" s="28"/>
      <c r="AF119" s="29"/>
      <c r="AG119" s="30"/>
      <c r="AI119" s="28"/>
      <c r="AJ119" s="28"/>
      <c r="AK119" s="29"/>
      <c r="AL119" s="28"/>
      <c r="AM119" s="28"/>
      <c r="AN119" s="28"/>
      <c r="AO119" s="29"/>
      <c r="AP119" s="28"/>
      <c r="AQ119" s="28"/>
      <c r="AR119" s="28"/>
      <c r="AS119" s="29"/>
      <c r="AT119" s="28"/>
      <c r="AU119" s="28"/>
      <c r="AV119" s="28"/>
      <c r="AW119" s="29"/>
      <c r="AX119" s="30"/>
    </row>
    <row r="120" spans="1:50" ht="13.5" customHeight="1" x14ac:dyDescent="0.2">
      <c r="A120" s="12" t="s">
        <v>0</v>
      </c>
      <c r="B120" s="59" t="s">
        <v>130</v>
      </c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13" t="s">
        <v>50</v>
      </c>
      <c r="N120" s="61">
        <f>SUM(D122:D125,D127:D130,H122:H125, H127:H130,L122:L125,L127:L130,P122:P125,P127:P130,D132:D135,H132:H135,L132:L135,P132:P135)</f>
        <v>340</v>
      </c>
      <c r="O120" s="60"/>
      <c r="P120" s="62"/>
      <c r="R120" s="12" t="s">
        <v>0</v>
      </c>
      <c r="S120" s="59" t="s">
        <v>139</v>
      </c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13" t="s">
        <v>50</v>
      </c>
      <c r="AE120" s="61">
        <f>SUM(U122:U125,U127:U130,Y122:Y125, Y127:Y130,AC122:AC125,AC127:AC130,AG122:AG125,AG127:AG130,U132:U135,Y132:Y135,AC132:AC135,AG132:AG135)</f>
        <v>374</v>
      </c>
      <c r="AF120" s="60"/>
      <c r="AG120" s="62"/>
      <c r="AI120" s="12" t="s">
        <v>0</v>
      </c>
      <c r="AJ120" s="59" t="s">
        <v>58</v>
      </c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13" t="s">
        <v>50</v>
      </c>
      <c r="AV120" s="61">
        <f>SUM(AL122:AL125,AL127:AL130,AP122:AP125, AP127:AP130,AT122:AT125,AT127:AT130,AX122:AX125,AX127:AX130,AL132:AL135,AP132:AP135,AT132:AT135,AX132:AX135)</f>
        <v>406</v>
      </c>
      <c r="AW120" s="60"/>
      <c r="AX120" s="62"/>
    </row>
    <row r="121" spans="1:50" ht="13.5" customHeight="1" x14ac:dyDescent="0.2">
      <c r="A121" s="14" t="s">
        <v>3</v>
      </c>
      <c r="B121" s="15" t="s">
        <v>51</v>
      </c>
      <c r="C121" s="16" t="s">
        <v>21</v>
      </c>
      <c r="D121" s="15" t="s">
        <v>49</v>
      </c>
      <c r="E121" s="15" t="s">
        <v>6</v>
      </c>
      <c r="F121" s="15" t="s">
        <v>51</v>
      </c>
      <c r="G121" s="16" t="s">
        <v>21</v>
      </c>
      <c r="H121" s="15" t="s">
        <v>49</v>
      </c>
      <c r="I121" s="15" t="s">
        <v>7</v>
      </c>
      <c r="J121" s="15" t="s">
        <v>51</v>
      </c>
      <c r="K121" s="16" t="s">
        <v>21</v>
      </c>
      <c r="L121" s="15" t="s">
        <v>49</v>
      </c>
      <c r="M121" s="15" t="s">
        <v>13</v>
      </c>
      <c r="N121" s="15" t="s">
        <v>51</v>
      </c>
      <c r="O121" s="16" t="s">
        <v>21</v>
      </c>
      <c r="P121" s="17" t="s">
        <v>49</v>
      </c>
      <c r="R121" s="14" t="s">
        <v>3</v>
      </c>
      <c r="S121" s="15" t="s">
        <v>51</v>
      </c>
      <c r="T121" s="16" t="s">
        <v>21</v>
      </c>
      <c r="U121" s="15" t="s">
        <v>49</v>
      </c>
      <c r="V121" s="15" t="s">
        <v>6</v>
      </c>
      <c r="W121" s="15" t="s">
        <v>51</v>
      </c>
      <c r="X121" s="16" t="s">
        <v>21</v>
      </c>
      <c r="Y121" s="15" t="s">
        <v>49</v>
      </c>
      <c r="Z121" s="15" t="s">
        <v>7</v>
      </c>
      <c r="AA121" s="15" t="s">
        <v>51</v>
      </c>
      <c r="AB121" s="16" t="s">
        <v>21</v>
      </c>
      <c r="AC121" s="15" t="s">
        <v>49</v>
      </c>
      <c r="AD121" s="15" t="s">
        <v>13</v>
      </c>
      <c r="AE121" s="15" t="s">
        <v>51</v>
      </c>
      <c r="AF121" s="16" t="s">
        <v>21</v>
      </c>
      <c r="AG121" s="17" t="s">
        <v>49</v>
      </c>
      <c r="AI121" s="14" t="s">
        <v>3</v>
      </c>
      <c r="AJ121" s="15" t="s">
        <v>51</v>
      </c>
      <c r="AK121" s="16" t="s">
        <v>21</v>
      </c>
      <c r="AL121" s="15" t="s">
        <v>49</v>
      </c>
      <c r="AM121" s="15" t="s">
        <v>6</v>
      </c>
      <c r="AN121" s="15" t="s">
        <v>51</v>
      </c>
      <c r="AO121" s="16" t="s">
        <v>21</v>
      </c>
      <c r="AP121" s="15" t="s">
        <v>49</v>
      </c>
      <c r="AQ121" s="15" t="s">
        <v>7</v>
      </c>
      <c r="AR121" s="15" t="s">
        <v>51</v>
      </c>
      <c r="AS121" s="16" t="s">
        <v>21</v>
      </c>
      <c r="AT121" s="15" t="s">
        <v>49</v>
      </c>
      <c r="AU121" s="15" t="s">
        <v>13</v>
      </c>
      <c r="AV121" s="15" t="s">
        <v>51</v>
      </c>
      <c r="AW121" s="16" t="s">
        <v>21</v>
      </c>
      <c r="AX121" s="17" t="s">
        <v>49</v>
      </c>
    </row>
    <row r="122" spans="1:50" ht="13.5" customHeight="1" x14ac:dyDescent="0.2">
      <c r="A122" s="3" t="s">
        <v>71</v>
      </c>
      <c r="B122" s="3">
        <f>Results!$O$3</f>
        <v>3</v>
      </c>
      <c r="C122" s="11">
        <v>3</v>
      </c>
      <c r="D122" s="3">
        <f t="shared" ref="D122:D125" si="231">B122*C122</f>
        <v>9</v>
      </c>
      <c r="E122" s="3" t="s">
        <v>76</v>
      </c>
      <c r="F122" s="3">
        <f>Results!$O$8</f>
        <v>2</v>
      </c>
      <c r="G122" s="11">
        <v>2</v>
      </c>
      <c r="H122" s="3">
        <f t="shared" ref="H122:H125" si="232">F122*G122</f>
        <v>4</v>
      </c>
      <c r="I122" s="3" t="s">
        <v>80</v>
      </c>
      <c r="J122" s="3">
        <f>Results!$O$13</f>
        <v>2</v>
      </c>
      <c r="K122" s="11">
        <v>3</v>
      </c>
      <c r="L122" s="3">
        <f t="shared" ref="L122:L125" si="233">J122*K122</f>
        <v>6</v>
      </c>
      <c r="M122" s="3" t="s">
        <v>68</v>
      </c>
      <c r="N122" s="3">
        <f>Results!$O$18</f>
        <v>11</v>
      </c>
      <c r="O122" s="11">
        <v>1</v>
      </c>
      <c r="P122" s="18">
        <f>N122*O122</f>
        <v>11</v>
      </c>
      <c r="R122" s="3" t="s">
        <v>71</v>
      </c>
      <c r="S122" s="3">
        <f>Results!$O$3</f>
        <v>3</v>
      </c>
      <c r="T122" s="11">
        <v>3</v>
      </c>
      <c r="U122" s="3">
        <f t="shared" ref="U122:U125" si="234">S122*T122</f>
        <v>9</v>
      </c>
      <c r="V122" s="3" t="s">
        <v>76</v>
      </c>
      <c r="W122" s="3">
        <f>Results!$O$8</f>
        <v>2</v>
      </c>
      <c r="X122" s="11">
        <v>2</v>
      </c>
      <c r="Y122" s="3">
        <f t="shared" ref="Y122:Y125" si="235">W122*X122</f>
        <v>4</v>
      </c>
      <c r="Z122" s="3" t="s">
        <v>80</v>
      </c>
      <c r="AA122" s="3">
        <f>Results!$O$13</f>
        <v>2</v>
      </c>
      <c r="AB122" s="11">
        <v>3</v>
      </c>
      <c r="AC122" s="3">
        <f t="shared" ref="AC122:AC125" si="236">AA122*AB122</f>
        <v>6</v>
      </c>
      <c r="AD122" s="3" t="s">
        <v>68</v>
      </c>
      <c r="AE122" s="3">
        <f>Results!$O$18</f>
        <v>11</v>
      </c>
      <c r="AF122" s="11">
        <v>2</v>
      </c>
      <c r="AG122" s="18">
        <f>AE122*AF122</f>
        <v>22</v>
      </c>
      <c r="AI122" s="3" t="s">
        <v>71</v>
      </c>
      <c r="AJ122" s="3">
        <f>Results!$O$3</f>
        <v>3</v>
      </c>
      <c r="AK122" s="11">
        <v>3</v>
      </c>
      <c r="AL122" s="3">
        <f t="shared" ref="AL122:AL125" si="237">AJ122*AK122</f>
        <v>9</v>
      </c>
      <c r="AM122" s="3" t="s">
        <v>76</v>
      </c>
      <c r="AN122" s="3">
        <f>Results!$O$8</f>
        <v>2</v>
      </c>
      <c r="AO122" s="11">
        <v>1</v>
      </c>
      <c r="AP122" s="3">
        <f t="shared" ref="AP122:AP125" si="238">AN122*AO122</f>
        <v>2</v>
      </c>
      <c r="AQ122" s="3" t="s">
        <v>80</v>
      </c>
      <c r="AR122" s="3">
        <f>Results!$O$13</f>
        <v>2</v>
      </c>
      <c r="AS122" s="11">
        <v>3</v>
      </c>
      <c r="AT122" s="3">
        <f t="shared" ref="AT122:AT125" si="239">AR122*AS122</f>
        <v>6</v>
      </c>
      <c r="AU122" s="3" t="s">
        <v>68</v>
      </c>
      <c r="AV122" s="3">
        <f>Results!$O$18</f>
        <v>11</v>
      </c>
      <c r="AW122" s="11">
        <v>2</v>
      </c>
      <c r="AX122" s="18">
        <f>AV122*AW122</f>
        <v>22</v>
      </c>
    </row>
    <row r="123" spans="1:50" ht="13.5" customHeight="1" x14ac:dyDescent="0.2">
      <c r="A123" s="3" t="s">
        <v>123</v>
      </c>
      <c r="B123" s="3">
        <f>Results!$O$4</f>
        <v>-14</v>
      </c>
      <c r="C123" s="11"/>
      <c r="D123" s="3">
        <f t="shared" si="231"/>
        <v>0</v>
      </c>
      <c r="E123" s="3" t="s">
        <v>103</v>
      </c>
      <c r="F123" s="3">
        <f>Results!$O$9</f>
        <v>1</v>
      </c>
      <c r="G123" s="11">
        <v>1</v>
      </c>
      <c r="H123" s="3">
        <f t="shared" si="232"/>
        <v>1</v>
      </c>
      <c r="I123" s="3" t="s">
        <v>77</v>
      </c>
      <c r="J123" s="3">
        <f>Results!$O$14</f>
        <v>4</v>
      </c>
      <c r="K123" s="11">
        <v>2</v>
      </c>
      <c r="L123" s="3">
        <f t="shared" si="233"/>
        <v>8</v>
      </c>
      <c r="M123" s="3" t="s">
        <v>106</v>
      </c>
      <c r="N123" s="3">
        <f>Results!$O$19</f>
        <v>-7</v>
      </c>
      <c r="O123" s="11">
        <v>2</v>
      </c>
      <c r="P123" s="18">
        <f>N123*O123</f>
        <v>-14</v>
      </c>
      <c r="R123" s="3" t="s">
        <v>123</v>
      </c>
      <c r="S123" s="3">
        <f>Results!$O$4</f>
        <v>-14</v>
      </c>
      <c r="T123" s="11"/>
      <c r="U123" s="3">
        <f t="shared" si="234"/>
        <v>0</v>
      </c>
      <c r="V123" s="3" t="s">
        <v>103</v>
      </c>
      <c r="W123" s="3">
        <f>Results!$O$9</f>
        <v>1</v>
      </c>
      <c r="X123" s="11">
        <v>1</v>
      </c>
      <c r="Y123" s="3">
        <f t="shared" si="235"/>
        <v>1</v>
      </c>
      <c r="Z123" s="3" t="s">
        <v>77</v>
      </c>
      <c r="AA123" s="3">
        <f>Results!$O$14</f>
        <v>4</v>
      </c>
      <c r="AB123" s="11">
        <v>2</v>
      </c>
      <c r="AC123" s="3">
        <f t="shared" si="236"/>
        <v>8</v>
      </c>
      <c r="AD123" s="3" t="s">
        <v>106</v>
      </c>
      <c r="AE123" s="3">
        <f>Results!$O$19</f>
        <v>-7</v>
      </c>
      <c r="AF123" s="11">
        <v>1</v>
      </c>
      <c r="AG123" s="18">
        <f>AE123*AF123</f>
        <v>-7</v>
      </c>
      <c r="AI123" s="3" t="s">
        <v>123</v>
      </c>
      <c r="AJ123" s="3">
        <f>Results!$O$4</f>
        <v>-14</v>
      </c>
      <c r="AK123" s="11"/>
      <c r="AL123" s="3">
        <f t="shared" si="237"/>
        <v>0</v>
      </c>
      <c r="AM123" s="3" t="s">
        <v>103</v>
      </c>
      <c r="AN123" s="3">
        <f>Results!$O$9</f>
        <v>1</v>
      </c>
      <c r="AO123" s="11">
        <v>2</v>
      </c>
      <c r="AP123" s="3">
        <f t="shared" si="238"/>
        <v>2</v>
      </c>
      <c r="AQ123" s="3" t="s">
        <v>77</v>
      </c>
      <c r="AR123" s="3">
        <f>Results!$O$14</f>
        <v>4</v>
      </c>
      <c r="AS123" s="11">
        <v>1</v>
      </c>
      <c r="AT123" s="3">
        <f t="shared" si="239"/>
        <v>4</v>
      </c>
      <c r="AU123" s="3" t="s">
        <v>106</v>
      </c>
      <c r="AV123" s="3">
        <f>Results!$O$19</f>
        <v>-7</v>
      </c>
      <c r="AW123" s="11"/>
      <c r="AX123" s="18">
        <f>AV123*AW123</f>
        <v>0</v>
      </c>
    </row>
    <row r="124" spans="1:50" ht="13.5" customHeight="1" x14ac:dyDescent="0.2">
      <c r="A124" s="3" t="s">
        <v>124</v>
      </c>
      <c r="B124" s="3">
        <f>Results!$O$5</f>
        <v>7</v>
      </c>
      <c r="C124" s="11">
        <v>1</v>
      </c>
      <c r="D124" s="3">
        <f t="shared" si="231"/>
        <v>7</v>
      </c>
      <c r="E124" s="3" t="s">
        <v>65</v>
      </c>
      <c r="F124" s="3">
        <f>Results!$O$10</f>
        <v>2</v>
      </c>
      <c r="G124" s="11"/>
      <c r="H124" s="3">
        <f t="shared" si="232"/>
        <v>0</v>
      </c>
      <c r="I124" s="3" t="s">
        <v>104</v>
      </c>
      <c r="J124" s="3">
        <f>Results!$O$15</f>
        <v>-2</v>
      </c>
      <c r="K124" s="11"/>
      <c r="L124" s="3">
        <f t="shared" si="233"/>
        <v>0</v>
      </c>
      <c r="M124" s="3" t="s">
        <v>72</v>
      </c>
      <c r="N124" s="3">
        <f>Results!$O$20</f>
        <v>9</v>
      </c>
      <c r="O124" s="11"/>
      <c r="P124" s="18">
        <f>N124*O124</f>
        <v>0</v>
      </c>
      <c r="R124" s="3" t="s">
        <v>124</v>
      </c>
      <c r="S124" s="3">
        <f>Results!$O$5</f>
        <v>7</v>
      </c>
      <c r="T124" s="11">
        <v>2</v>
      </c>
      <c r="U124" s="3">
        <f t="shared" si="234"/>
        <v>14</v>
      </c>
      <c r="V124" s="3" t="s">
        <v>65</v>
      </c>
      <c r="W124" s="3">
        <f>Results!$O$10</f>
        <v>2</v>
      </c>
      <c r="X124" s="11"/>
      <c r="Y124" s="3">
        <f t="shared" si="235"/>
        <v>0</v>
      </c>
      <c r="Z124" s="3" t="s">
        <v>104</v>
      </c>
      <c r="AA124" s="3">
        <f>Results!$O$15</f>
        <v>-2</v>
      </c>
      <c r="AB124" s="11"/>
      <c r="AC124" s="3">
        <f t="shared" si="236"/>
        <v>0</v>
      </c>
      <c r="AD124" s="3" t="s">
        <v>72</v>
      </c>
      <c r="AE124" s="3">
        <f>Results!$O$20</f>
        <v>9</v>
      </c>
      <c r="AF124" s="11"/>
      <c r="AG124" s="18">
        <f>AE124*AF124</f>
        <v>0</v>
      </c>
      <c r="AI124" s="3" t="s">
        <v>124</v>
      </c>
      <c r="AJ124" s="3">
        <f>Results!$O$5</f>
        <v>7</v>
      </c>
      <c r="AK124" s="11">
        <v>2</v>
      </c>
      <c r="AL124" s="3">
        <f t="shared" si="237"/>
        <v>14</v>
      </c>
      <c r="AM124" s="3" t="s">
        <v>65</v>
      </c>
      <c r="AN124" s="3">
        <f>Results!$O$10</f>
        <v>2</v>
      </c>
      <c r="AO124" s="11"/>
      <c r="AP124" s="3">
        <f t="shared" si="238"/>
        <v>0</v>
      </c>
      <c r="AQ124" s="3" t="s">
        <v>104</v>
      </c>
      <c r="AR124" s="3">
        <f>Results!$O$15</f>
        <v>-2</v>
      </c>
      <c r="AS124" s="11"/>
      <c r="AT124" s="3">
        <f t="shared" si="239"/>
        <v>0</v>
      </c>
      <c r="AU124" s="3" t="s">
        <v>72</v>
      </c>
      <c r="AV124" s="3">
        <f>Results!$O$20</f>
        <v>9</v>
      </c>
      <c r="AW124" s="11">
        <v>1</v>
      </c>
      <c r="AX124" s="18">
        <f>AV124*AW124</f>
        <v>9</v>
      </c>
    </row>
    <row r="125" spans="1:50" ht="13.5" customHeight="1" x14ac:dyDescent="0.2">
      <c r="A125" s="3" t="s">
        <v>102</v>
      </c>
      <c r="B125" s="3">
        <f>Results!$O$6</f>
        <v>0</v>
      </c>
      <c r="C125" s="11">
        <v>2</v>
      </c>
      <c r="D125" s="3">
        <f t="shared" si="231"/>
        <v>0</v>
      </c>
      <c r="E125" s="3" t="s">
        <v>12</v>
      </c>
      <c r="F125" s="3">
        <f>Results!$O$11</f>
        <v>3</v>
      </c>
      <c r="G125" s="11">
        <v>3</v>
      </c>
      <c r="H125" s="3">
        <f t="shared" si="232"/>
        <v>9</v>
      </c>
      <c r="I125" s="3" t="s">
        <v>105</v>
      </c>
      <c r="J125" s="3">
        <f>Results!$O$16</f>
        <v>4</v>
      </c>
      <c r="K125" s="11">
        <v>1</v>
      </c>
      <c r="L125" s="3">
        <f t="shared" si="233"/>
        <v>4</v>
      </c>
      <c r="M125" s="3" t="s">
        <v>107</v>
      </c>
      <c r="N125" s="3">
        <f>Results!$O$21</f>
        <v>-3</v>
      </c>
      <c r="O125" s="11">
        <v>3</v>
      </c>
      <c r="P125" s="18">
        <f>N125*O125</f>
        <v>-9</v>
      </c>
      <c r="R125" s="3" t="s">
        <v>102</v>
      </c>
      <c r="S125" s="3">
        <f>Results!$O$6</f>
        <v>0</v>
      </c>
      <c r="T125" s="11">
        <v>1</v>
      </c>
      <c r="U125" s="3">
        <f t="shared" si="234"/>
        <v>0</v>
      </c>
      <c r="V125" s="3" t="s">
        <v>12</v>
      </c>
      <c r="W125" s="3">
        <f>Results!$O$11</f>
        <v>3</v>
      </c>
      <c r="X125" s="11">
        <v>3</v>
      </c>
      <c r="Y125" s="3">
        <f t="shared" si="235"/>
        <v>9</v>
      </c>
      <c r="Z125" s="3" t="s">
        <v>105</v>
      </c>
      <c r="AA125" s="3">
        <f>Results!$O$16</f>
        <v>4</v>
      </c>
      <c r="AB125" s="11">
        <v>1</v>
      </c>
      <c r="AC125" s="3">
        <f t="shared" si="236"/>
        <v>4</v>
      </c>
      <c r="AD125" s="3" t="s">
        <v>107</v>
      </c>
      <c r="AE125" s="3">
        <f>Results!$O$21</f>
        <v>-3</v>
      </c>
      <c r="AF125" s="11">
        <v>3</v>
      </c>
      <c r="AG125" s="18">
        <f>AE125*AF125</f>
        <v>-9</v>
      </c>
      <c r="AI125" s="3" t="s">
        <v>102</v>
      </c>
      <c r="AJ125" s="3">
        <f>Results!$O$6</f>
        <v>0</v>
      </c>
      <c r="AK125" s="11">
        <v>1</v>
      </c>
      <c r="AL125" s="3">
        <f t="shared" si="237"/>
        <v>0</v>
      </c>
      <c r="AM125" s="3" t="s">
        <v>12</v>
      </c>
      <c r="AN125" s="3">
        <f>Results!$O$11</f>
        <v>3</v>
      </c>
      <c r="AO125" s="11">
        <v>3</v>
      </c>
      <c r="AP125" s="3">
        <f t="shared" si="238"/>
        <v>9</v>
      </c>
      <c r="AQ125" s="3" t="s">
        <v>105</v>
      </c>
      <c r="AR125" s="3">
        <f>Results!$O$16</f>
        <v>4</v>
      </c>
      <c r="AS125" s="11">
        <v>2</v>
      </c>
      <c r="AT125" s="3">
        <f t="shared" si="239"/>
        <v>8</v>
      </c>
      <c r="AU125" s="3" t="s">
        <v>107</v>
      </c>
      <c r="AV125" s="3">
        <f>Results!$O$21</f>
        <v>-3</v>
      </c>
      <c r="AW125" s="11">
        <v>3</v>
      </c>
      <c r="AX125" s="18">
        <f>AV125*AW125</f>
        <v>-9</v>
      </c>
    </row>
    <row r="126" spans="1:50" ht="13.5" customHeight="1" x14ac:dyDescent="0.2">
      <c r="A126" s="14" t="s">
        <v>14</v>
      </c>
      <c r="B126" s="15" t="s">
        <v>51</v>
      </c>
      <c r="C126" s="16" t="s">
        <v>21</v>
      </c>
      <c r="D126" s="15" t="s">
        <v>49</v>
      </c>
      <c r="E126" s="15" t="s">
        <v>15</v>
      </c>
      <c r="F126" s="15" t="s">
        <v>51</v>
      </c>
      <c r="G126" s="16" t="s">
        <v>21</v>
      </c>
      <c r="H126" s="15" t="s">
        <v>49</v>
      </c>
      <c r="I126" s="15" t="s">
        <v>78</v>
      </c>
      <c r="J126" s="15" t="s">
        <v>51</v>
      </c>
      <c r="K126" s="16" t="s">
        <v>21</v>
      </c>
      <c r="L126" s="15" t="s">
        <v>49</v>
      </c>
      <c r="M126" s="15" t="s">
        <v>79</v>
      </c>
      <c r="N126" s="15" t="s">
        <v>51</v>
      </c>
      <c r="O126" s="16" t="s">
        <v>21</v>
      </c>
      <c r="P126" s="15" t="s">
        <v>49</v>
      </c>
      <c r="R126" s="14" t="s">
        <v>14</v>
      </c>
      <c r="S126" s="15" t="s">
        <v>51</v>
      </c>
      <c r="T126" s="16" t="s">
        <v>21</v>
      </c>
      <c r="U126" s="15" t="s">
        <v>49</v>
      </c>
      <c r="V126" s="15" t="s">
        <v>15</v>
      </c>
      <c r="W126" s="15" t="s">
        <v>51</v>
      </c>
      <c r="X126" s="16" t="s">
        <v>21</v>
      </c>
      <c r="Y126" s="15" t="s">
        <v>49</v>
      </c>
      <c r="Z126" s="15" t="s">
        <v>78</v>
      </c>
      <c r="AA126" s="15" t="s">
        <v>51</v>
      </c>
      <c r="AB126" s="16" t="s">
        <v>21</v>
      </c>
      <c r="AC126" s="15" t="s">
        <v>49</v>
      </c>
      <c r="AD126" s="15" t="s">
        <v>79</v>
      </c>
      <c r="AE126" s="15" t="s">
        <v>51</v>
      </c>
      <c r="AF126" s="16" t="s">
        <v>21</v>
      </c>
      <c r="AG126" s="15" t="s">
        <v>49</v>
      </c>
      <c r="AI126" s="14" t="s">
        <v>14</v>
      </c>
      <c r="AJ126" s="15" t="s">
        <v>51</v>
      </c>
      <c r="AK126" s="16" t="s">
        <v>21</v>
      </c>
      <c r="AL126" s="15" t="s">
        <v>49</v>
      </c>
      <c r="AM126" s="15" t="s">
        <v>15</v>
      </c>
      <c r="AN126" s="15" t="s">
        <v>51</v>
      </c>
      <c r="AO126" s="16" t="s">
        <v>21</v>
      </c>
      <c r="AP126" s="15" t="s">
        <v>49</v>
      </c>
      <c r="AQ126" s="15" t="s">
        <v>78</v>
      </c>
      <c r="AR126" s="15" t="s">
        <v>51</v>
      </c>
      <c r="AS126" s="16" t="s">
        <v>21</v>
      </c>
      <c r="AT126" s="15" t="s">
        <v>49</v>
      </c>
      <c r="AU126" s="15" t="s">
        <v>79</v>
      </c>
      <c r="AV126" s="15" t="s">
        <v>51</v>
      </c>
      <c r="AW126" s="16" t="s">
        <v>21</v>
      </c>
      <c r="AX126" s="15" t="s">
        <v>49</v>
      </c>
    </row>
    <row r="127" spans="1:50" ht="13.5" customHeight="1" x14ac:dyDescent="0.2">
      <c r="A127" s="3" t="s">
        <v>11</v>
      </c>
      <c r="B127" s="3">
        <f>Results!$O$23</f>
        <v>18</v>
      </c>
      <c r="C127" s="11">
        <v>3</v>
      </c>
      <c r="D127" s="3">
        <f t="shared" ref="D127:D130" si="240">B127*C127</f>
        <v>54</v>
      </c>
      <c r="E127" s="3" t="s">
        <v>57</v>
      </c>
      <c r="F127" s="3">
        <f>Results!$O$28</f>
        <v>2</v>
      </c>
      <c r="G127" s="11">
        <v>3</v>
      </c>
      <c r="H127" s="3">
        <f t="shared" ref="H127:H130" si="241">F127*G127</f>
        <v>6</v>
      </c>
      <c r="I127" s="3" t="s">
        <v>18</v>
      </c>
      <c r="J127" s="3">
        <f>Results!$O$33</f>
        <v>2</v>
      </c>
      <c r="K127" s="11">
        <v>3</v>
      </c>
      <c r="L127" s="3">
        <f t="shared" ref="L127:L130" si="242">J127*K127</f>
        <v>6</v>
      </c>
      <c r="M127" s="3" t="s">
        <v>17</v>
      </c>
      <c r="N127" s="3">
        <f>Results!$O$38</f>
        <v>2</v>
      </c>
      <c r="O127" s="11">
        <v>3</v>
      </c>
      <c r="P127" s="3">
        <f t="shared" ref="P127:P130" si="243">N127*O127</f>
        <v>6</v>
      </c>
      <c r="R127" s="3" t="s">
        <v>11</v>
      </c>
      <c r="S127" s="3">
        <f>Results!$O$23</f>
        <v>18</v>
      </c>
      <c r="T127" s="11">
        <v>3</v>
      </c>
      <c r="U127" s="3">
        <f t="shared" ref="U127:U130" si="244">S127*T127</f>
        <v>54</v>
      </c>
      <c r="V127" s="3" t="s">
        <v>57</v>
      </c>
      <c r="W127" s="3">
        <f>Results!$O$28</f>
        <v>2</v>
      </c>
      <c r="X127" s="11">
        <v>3</v>
      </c>
      <c r="Y127" s="3">
        <f t="shared" ref="Y127:Y130" si="245">W127*X127</f>
        <v>6</v>
      </c>
      <c r="Z127" s="3" t="s">
        <v>18</v>
      </c>
      <c r="AA127" s="3">
        <f>Results!$O$33</f>
        <v>2</v>
      </c>
      <c r="AB127" s="11">
        <v>3</v>
      </c>
      <c r="AC127" s="3">
        <f t="shared" ref="AC127:AC130" si="246">AA127*AB127</f>
        <v>6</v>
      </c>
      <c r="AD127" s="3" t="s">
        <v>17</v>
      </c>
      <c r="AE127" s="3">
        <f>Results!$O$38</f>
        <v>2</v>
      </c>
      <c r="AF127" s="11">
        <v>3</v>
      </c>
      <c r="AG127" s="3">
        <f t="shared" ref="AG127:AG130" si="247">AE127*AF127</f>
        <v>6</v>
      </c>
      <c r="AI127" s="3" t="s">
        <v>11</v>
      </c>
      <c r="AJ127" s="3">
        <f>Results!$O$23</f>
        <v>18</v>
      </c>
      <c r="AK127" s="11">
        <v>5</v>
      </c>
      <c r="AL127" s="3">
        <f t="shared" ref="AL127:AL130" si="248">AJ127*AK127</f>
        <v>90</v>
      </c>
      <c r="AM127" s="3" t="s">
        <v>57</v>
      </c>
      <c r="AN127" s="3">
        <f>Results!$O$28</f>
        <v>2</v>
      </c>
      <c r="AO127" s="11">
        <v>2</v>
      </c>
      <c r="AP127" s="3">
        <f t="shared" ref="AP127:AP130" si="249">AN127*AO127</f>
        <v>4</v>
      </c>
      <c r="AQ127" s="3" t="s">
        <v>18</v>
      </c>
      <c r="AR127" s="3">
        <f>Results!$O$33</f>
        <v>2</v>
      </c>
      <c r="AS127" s="11">
        <v>3</v>
      </c>
      <c r="AT127" s="3">
        <f t="shared" ref="AT127:AT130" si="250">AR127*AS127</f>
        <v>6</v>
      </c>
      <c r="AU127" s="3" t="s">
        <v>17</v>
      </c>
      <c r="AV127" s="3">
        <f>Results!$O$38</f>
        <v>2</v>
      </c>
      <c r="AW127" s="11">
        <v>3</v>
      </c>
      <c r="AX127" s="3">
        <f t="shared" ref="AX127:AX130" si="251">AV127*AW127</f>
        <v>6</v>
      </c>
    </row>
    <row r="128" spans="1:50" ht="13.5" customHeight="1" x14ac:dyDescent="0.2">
      <c r="A128" s="3" t="s">
        <v>108</v>
      </c>
      <c r="B128" s="3">
        <f>Results!$O$24</f>
        <v>-5</v>
      </c>
      <c r="C128" s="11"/>
      <c r="D128" s="3">
        <f t="shared" si="240"/>
        <v>0</v>
      </c>
      <c r="E128" s="3" t="s">
        <v>75</v>
      </c>
      <c r="F128" s="3">
        <f>Results!$O$29</f>
        <v>5</v>
      </c>
      <c r="G128" s="11">
        <v>2</v>
      </c>
      <c r="H128" s="3">
        <f t="shared" si="241"/>
        <v>10</v>
      </c>
      <c r="I128" s="3" t="s">
        <v>111</v>
      </c>
      <c r="J128" s="3">
        <f>Results!$O$34</f>
        <v>2</v>
      </c>
      <c r="K128" s="11">
        <v>2</v>
      </c>
      <c r="L128" s="3">
        <f t="shared" si="242"/>
        <v>4</v>
      </c>
      <c r="M128" s="3" t="s">
        <v>113</v>
      </c>
      <c r="N128" s="3">
        <f>Results!$O$39</f>
        <v>2</v>
      </c>
      <c r="O128" s="11"/>
      <c r="P128" s="3">
        <f t="shared" si="243"/>
        <v>0</v>
      </c>
      <c r="R128" s="3" t="s">
        <v>108</v>
      </c>
      <c r="S128" s="3">
        <f>Results!$O$24</f>
        <v>-5</v>
      </c>
      <c r="T128" s="11"/>
      <c r="U128" s="3">
        <f t="shared" si="244"/>
        <v>0</v>
      </c>
      <c r="V128" s="3" t="s">
        <v>75</v>
      </c>
      <c r="W128" s="3">
        <f>Results!$O$29</f>
        <v>5</v>
      </c>
      <c r="X128" s="11">
        <v>2</v>
      </c>
      <c r="Y128" s="3">
        <f t="shared" si="245"/>
        <v>10</v>
      </c>
      <c r="Z128" s="3" t="s">
        <v>111</v>
      </c>
      <c r="AA128" s="3">
        <f>Results!$O$34</f>
        <v>2</v>
      </c>
      <c r="AB128" s="11">
        <v>2</v>
      </c>
      <c r="AC128" s="3">
        <f t="shared" si="246"/>
        <v>4</v>
      </c>
      <c r="AD128" s="3" t="s">
        <v>113</v>
      </c>
      <c r="AE128" s="3">
        <f>Results!$O$39</f>
        <v>2</v>
      </c>
      <c r="AF128" s="11"/>
      <c r="AG128" s="3">
        <f t="shared" si="247"/>
        <v>0</v>
      </c>
      <c r="AI128" s="3" t="s">
        <v>108</v>
      </c>
      <c r="AJ128" s="3">
        <f>Results!$O$24</f>
        <v>-5</v>
      </c>
      <c r="AK128" s="11">
        <v>1</v>
      </c>
      <c r="AL128" s="3">
        <f t="shared" si="248"/>
        <v>-5</v>
      </c>
      <c r="AM128" s="3" t="s">
        <v>75</v>
      </c>
      <c r="AN128" s="3">
        <f>Results!$O$29</f>
        <v>5</v>
      </c>
      <c r="AO128" s="11">
        <v>3</v>
      </c>
      <c r="AP128" s="3">
        <f t="shared" si="249"/>
        <v>15</v>
      </c>
      <c r="AQ128" s="3" t="s">
        <v>111</v>
      </c>
      <c r="AR128" s="3">
        <f>Results!$O$34</f>
        <v>2</v>
      </c>
      <c r="AS128" s="11">
        <v>2</v>
      </c>
      <c r="AT128" s="3">
        <f t="shared" si="250"/>
        <v>4</v>
      </c>
      <c r="AU128" s="3" t="s">
        <v>113</v>
      </c>
      <c r="AV128" s="3">
        <f>Results!$O$39</f>
        <v>2</v>
      </c>
      <c r="AW128" s="11">
        <v>1</v>
      </c>
      <c r="AX128" s="3">
        <f t="shared" si="251"/>
        <v>2</v>
      </c>
    </row>
    <row r="129" spans="1:50" ht="13.5" customHeight="1" x14ac:dyDescent="0.2">
      <c r="A129" s="3" t="s">
        <v>109</v>
      </c>
      <c r="B129" s="3">
        <f>Results!$O$25</f>
        <v>4</v>
      </c>
      <c r="C129" s="11">
        <v>1</v>
      </c>
      <c r="D129" s="3">
        <f t="shared" si="240"/>
        <v>4</v>
      </c>
      <c r="E129" s="3" t="s">
        <v>110</v>
      </c>
      <c r="F129" s="3">
        <f>Results!$O$30</f>
        <v>14</v>
      </c>
      <c r="G129" s="11">
        <v>1</v>
      </c>
      <c r="H129" s="3">
        <f t="shared" si="241"/>
        <v>14</v>
      </c>
      <c r="I129" s="3" t="s">
        <v>67</v>
      </c>
      <c r="J129" s="3">
        <f>Results!$O$35</f>
        <v>4</v>
      </c>
      <c r="K129" s="11">
        <v>1</v>
      </c>
      <c r="L129" s="3">
        <f t="shared" si="242"/>
        <v>4</v>
      </c>
      <c r="M129" s="3" t="s">
        <v>70</v>
      </c>
      <c r="N129" s="3">
        <f>Results!$O$40</f>
        <v>3</v>
      </c>
      <c r="O129" s="11">
        <v>1</v>
      </c>
      <c r="P129" s="3">
        <f t="shared" si="243"/>
        <v>3</v>
      </c>
      <c r="R129" s="3" t="s">
        <v>109</v>
      </c>
      <c r="S129" s="3">
        <f>Results!$O$25</f>
        <v>4</v>
      </c>
      <c r="T129" s="11">
        <v>2</v>
      </c>
      <c r="U129" s="3">
        <f t="shared" si="244"/>
        <v>8</v>
      </c>
      <c r="V129" s="3" t="s">
        <v>110</v>
      </c>
      <c r="W129" s="3">
        <f>Results!$O$30</f>
        <v>14</v>
      </c>
      <c r="X129" s="11">
        <v>1</v>
      </c>
      <c r="Y129" s="3">
        <f t="shared" si="245"/>
        <v>14</v>
      </c>
      <c r="Z129" s="3" t="s">
        <v>67</v>
      </c>
      <c r="AA129" s="3">
        <f>Results!$O$35</f>
        <v>4</v>
      </c>
      <c r="AB129" s="11">
        <v>1</v>
      </c>
      <c r="AC129" s="3">
        <f t="shared" si="246"/>
        <v>4</v>
      </c>
      <c r="AD129" s="3" t="s">
        <v>70</v>
      </c>
      <c r="AE129" s="3">
        <f>Results!$O$40</f>
        <v>3</v>
      </c>
      <c r="AF129" s="11">
        <v>1</v>
      </c>
      <c r="AG129" s="3">
        <f t="shared" si="247"/>
        <v>3</v>
      </c>
      <c r="AI129" s="3" t="s">
        <v>109</v>
      </c>
      <c r="AJ129" s="3">
        <f>Results!$O$25</f>
        <v>4</v>
      </c>
      <c r="AK129" s="11">
        <v>2</v>
      </c>
      <c r="AL129" s="3">
        <f t="shared" si="248"/>
        <v>8</v>
      </c>
      <c r="AM129" s="3" t="s">
        <v>110</v>
      </c>
      <c r="AN129" s="3">
        <f>Results!$O$30</f>
        <v>14</v>
      </c>
      <c r="AO129" s="11">
        <v>1</v>
      </c>
      <c r="AP129" s="3">
        <f t="shared" si="249"/>
        <v>14</v>
      </c>
      <c r="AQ129" s="3" t="s">
        <v>67</v>
      </c>
      <c r="AR129" s="3">
        <f>Results!$O$35</f>
        <v>4</v>
      </c>
      <c r="AS129" s="11">
        <v>1</v>
      </c>
      <c r="AT129" s="3">
        <f t="shared" si="250"/>
        <v>4</v>
      </c>
      <c r="AU129" s="3" t="s">
        <v>70</v>
      </c>
      <c r="AV129" s="3">
        <f>Results!$O$40</f>
        <v>3</v>
      </c>
      <c r="AW129" s="11"/>
      <c r="AX129" s="3">
        <f t="shared" si="251"/>
        <v>0</v>
      </c>
    </row>
    <row r="130" spans="1:50" ht="13.5" customHeight="1" x14ac:dyDescent="0.2">
      <c r="A130" s="24" t="s">
        <v>91</v>
      </c>
      <c r="B130" s="24">
        <f>Results!$O$26</f>
        <v>-2</v>
      </c>
      <c r="C130" s="25">
        <v>2</v>
      </c>
      <c r="D130" s="24">
        <f t="shared" si="240"/>
        <v>-4</v>
      </c>
      <c r="E130" s="24" t="s">
        <v>73</v>
      </c>
      <c r="F130" s="24">
        <f>Results!$O$31</f>
        <v>-4</v>
      </c>
      <c r="G130" s="25"/>
      <c r="H130" s="24">
        <f t="shared" si="241"/>
        <v>0</v>
      </c>
      <c r="I130" s="24" t="s">
        <v>112</v>
      </c>
      <c r="J130" s="24">
        <f>Results!$O$36</f>
        <v>5</v>
      </c>
      <c r="K130" s="25"/>
      <c r="L130" s="24">
        <f t="shared" si="242"/>
        <v>0</v>
      </c>
      <c r="M130" s="24" t="s">
        <v>84</v>
      </c>
      <c r="N130" s="24">
        <f>Results!$O$41</f>
        <v>4</v>
      </c>
      <c r="O130" s="25">
        <v>2</v>
      </c>
      <c r="P130" s="24">
        <f t="shared" si="243"/>
        <v>8</v>
      </c>
      <c r="R130" s="24" t="s">
        <v>91</v>
      </c>
      <c r="S130" s="24">
        <f>Results!$O$26</f>
        <v>-2</v>
      </c>
      <c r="T130" s="25">
        <v>1</v>
      </c>
      <c r="U130" s="24">
        <f t="shared" si="244"/>
        <v>-2</v>
      </c>
      <c r="V130" s="24" t="s">
        <v>73</v>
      </c>
      <c r="W130" s="24">
        <f>Results!$O$31</f>
        <v>-4</v>
      </c>
      <c r="X130" s="25"/>
      <c r="Y130" s="24">
        <f t="shared" si="245"/>
        <v>0</v>
      </c>
      <c r="Z130" s="24" t="s">
        <v>112</v>
      </c>
      <c r="AA130" s="24">
        <f>Results!$O$36</f>
        <v>5</v>
      </c>
      <c r="AB130" s="25"/>
      <c r="AC130" s="24">
        <f t="shared" si="246"/>
        <v>0</v>
      </c>
      <c r="AD130" s="24" t="s">
        <v>84</v>
      </c>
      <c r="AE130" s="24">
        <f>Results!$O$41</f>
        <v>4</v>
      </c>
      <c r="AF130" s="25">
        <v>2</v>
      </c>
      <c r="AG130" s="24">
        <f t="shared" si="247"/>
        <v>8</v>
      </c>
      <c r="AI130" s="24" t="s">
        <v>91</v>
      </c>
      <c r="AJ130" s="24">
        <f>Results!$O$26</f>
        <v>-2</v>
      </c>
      <c r="AK130" s="25">
        <v>3</v>
      </c>
      <c r="AL130" s="24">
        <f t="shared" si="248"/>
        <v>-6</v>
      </c>
      <c r="AM130" s="24" t="s">
        <v>73</v>
      </c>
      <c r="AN130" s="24">
        <f>Results!$O$31</f>
        <v>-4</v>
      </c>
      <c r="AO130" s="25"/>
      <c r="AP130" s="24">
        <f t="shared" si="249"/>
        <v>0</v>
      </c>
      <c r="AQ130" s="24" t="s">
        <v>112</v>
      </c>
      <c r="AR130" s="24">
        <f>Results!$O$36</f>
        <v>5</v>
      </c>
      <c r="AS130" s="25"/>
      <c r="AT130" s="24">
        <f t="shared" si="250"/>
        <v>0</v>
      </c>
      <c r="AU130" s="24" t="s">
        <v>84</v>
      </c>
      <c r="AV130" s="24">
        <f>Results!$O$41</f>
        <v>4</v>
      </c>
      <c r="AW130" s="25">
        <v>2</v>
      </c>
      <c r="AX130" s="24">
        <f t="shared" si="251"/>
        <v>8</v>
      </c>
    </row>
    <row r="131" spans="1:50" ht="13.5" customHeight="1" x14ac:dyDescent="0.2">
      <c r="A131" s="14" t="s">
        <v>97</v>
      </c>
      <c r="B131" s="15" t="s">
        <v>51</v>
      </c>
      <c r="C131" s="16" t="s">
        <v>21</v>
      </c>
      <c r="D131" s="15" t="s">
        <v>49</v>
      </c>
      <c r="E131" s="15" t="s">
        <v>98</v>
      </c>
      <c r="F131" s="15" t="s">
        <v>51</v>
      </c>
      <c r="G131" s="16" t="s">
        <v>21</v>
      </c>
      <c r="H131" s="15" t="s">
        <v>49</v>
      </c>
      <c r="I131" s="15" t="s">
        <v>99</v>
      </c>
      <c r="J131" s="15" t="s">
        <v>51</v>
      </c>
      <c r="K131" s="16" t="s">
        <v>21</v>
      </c>
      <c r="L131" s="15" t="s">
        <v>49</v>
      </c>
      <c r="M131" s="15" t="s">
        <v>100</v>
      </c>
      <c r="N131" s="15" t="s">
        <v>51</v>
      </c>
      <c r="O131" s="16" t="s">
        <v>21</v>
      </c>
      <c r="P131" s="15" t="s">
        <v>49</v>
      </c>
      <c r="R131" s="14" t="s">
        <v>97</v>
      </c>
      <c r="S131" s="15" t="s">
        <v>51</v>
      </c>
      <c r="T131" s="16" t="s">
        <v>21</v>
      </c>
      <c r="U131" s="15" t="s">
        <v>49</v>
      </c>
      <c r="V131" s="15" t="s">
        <v>98</v>
      </c>
      <c r="W131" s="15" t="s">
        <v>51</v>
      </c>
      <c r="X131" s="16" t="s">
        <v>21</v>
      </c>
      <c r="Y131" s="15" t="s">
        <v>49</v>
      </c>
      <c r="Z131" s="15" t="s">
        <v>99</v>
      </c>
      <c r="AA131" s="15" t="s">
        <v>51</v>
      </c>
      <c r="AB131" s="16" t="s">
        <v>21</v>
      </c>
      <c r="AC131" s="15" t="s">
        <v>49</v>
      </c>
      <c r="AD131" s="15" t="s">
        <v>100</v>
      </c>
      <c r="AE131" s="15" t="s">
        <v>51</v>
      </c>
      <c r="AF131" s="16" t="s">
        <v>21</v>
      </c>
      <c r="AG131" s="15" t="s">
        <v>49</v>
      </c>
      <c r="AI131" s="14" t="s">
        <v>97</v>
      </c>
      <c r="AJ131" s="15" t="s">
        <v>51</v>
      </c>
      <c r="AK131" s="16" t="s">
        <v>21</v>
      </c>
      <c r="AL131" s="15" t="s">
        <v>49</v>
      </c>
      <c r="AM131" s="15" t="s">
        <v>98</v>
      </c>
      <c r="AN131" s="15" t="s">
        <v>51</v>
      </c>
      <c r="AO131" s="16" t="s">
        <v>21</v>
      </c>
      <c r="AP131" s="15" t="s">
        <v>49</v>
      </c>
      <c r="AQ131" s="15" t="s">
        <v>99</v>
      </c>
      <c r="AR131" s="15" t="s">
        <v>51</v>
      </c>
      <c r="AS131" s="16" t="s">
        <v>21</v>
      </c>
      <c r="AT131" s="15" t="s">
        <v>49</v>
      </c>
      <c r="AU131" s="15" t="s">
        <v>100</v>
      </c>
      <c r="AV131" s="15" t="s">
        <v>51</v>
      </c>
      <c r="AW131" s="16" t="s">
        <v>21</v>
      </c>
      <c r="AX131" s="15" t="s">
        <v>49</v>
      </c>
    </row>
    <row r="132" spans="1:50" ht="13.5" customHeight="1" x14ac:dyDescent="0.2">
      <c r="A132" s="3" t="s">
        <v>8</v>
      </c>
      <c r="B132" s="3">
        <f>Results!$O$43</f>
        <v>10</v>
      </c>
      <c r="C132" s="11">
        <v>3</v>
      </c>
      <c r="D132" s="3">
        <f t="shared" ref="D132:D135" si="252">B132*C132</f>
        <v>30</v>
      </c>
      <c r="E132" s="3" t="s">
        <v>69</v>
      </c>
      <c r="F132" s="3">
        <f>Results!$O$48</f>
        <v>11</v>
      </c>
      <c r="G132" s="11">
        <v>3</v>
      </c>
      <c r="H132" s="3">
        <f t="shared" ref="H132:H135" si="253">F132*G132</f>
        <v>33</v>
      </c>
      <c r="I132" s="3" t="s">
        <v>19</v>
      </c>
      <c r="J132" s="3">
        <f>Results!$O$53</f>
        <v>1</v>
      </c>
      <c r="K132" s="11">
        <v>3</v>
      </c>
      <c r="L132" s="3">
        <f t="shared" ref="L132:L135" si="254">J132*K132</f>
        <v>3</v>
      </c>
      <c r="M132" s="3" t="s">
        <v>10</v>
      </c>
      <c r="N132" s="3">
        <f>Results!$O$58</f>
        <v>11</v>
      </c>
      <c r="O132" s="11">
        <v>5</v>
      </c>
      <c r="P132" s="3">
        <f t="shared" ref="P132:P135" si="255">N132*O132</f>
        <v>55</v>
      </c>
      <c r="R132" s="3" t="s">
        <v>8</v>
      </c>
      <c r="S132" s="3">
        <f>Results!$O$43</f>
        <v>10</v>
      </c>
      <c r="T132" s="11">
        <v>5</v>
      </c>
      <c r="U132" s="3">
        <f t="shared" ref="U132:U135" si="256">S132*T132</f>
        <v>50</v>
      </c>
      <c r="V132" s="3" t="s">
        <v>69</v>
      </c>
      <c r="W132" s="3">
        <f>Results!$O$48</f>
        <v>11</v>
      </c>
      <c r="X132" s="11">
        <v>3</v>
      </c>
      <c r="Y132" s="3">
        <f t="shared" ref="Y132:Y135" si="257">W132*X132</f>
        <v>33</v>
      </c>
      <c r="Z132" s="3" t="s">
        <v>19</v>
      </c>
      <c r="AA132" s="3">
        <f>Results!$O$53</f>
        <v>1</v>
      </c>
      <c r="AB132" s="11">
        <v>3</v>
      </c>
      <c r="AC132" s="3">
        <f t="shared" ref="AC132:AC135" si="258">AA132*AB132</f>
        <v>3</v>
      </c>
      <c r="AD132" s="3" t="s">
        <v>10</v>
      </c>
      <c r="AE132" s="3">
        <f>Results!$O$58</f>
        <v>11</v>
      </c>
      <c r="AF132" s="11">
        <v>3</v>
      </c>
      <c r="AG132" s="3">
        <f t="shared" ref="AG132:AG135" si="259">AE132*AF132</f>
        <v>33</v>
      </c>
      <c r="AI132" s="3" t="s">
        <v>8</v>
      </c>
      <c r="AJ132" s="3">
        <f>Results!$O$43</f>
        <v>10</v>
      </c>
      <c r="AK132" s="11">
        <v>3</v>
      </c>
      <c r="AL132" s="3">
        <f t="shared" ref="AL132:AL135" si="260">AJ132*AK132</f>
        <v>30</v>
      </c>
      <c r="AM132" s="3" t="s">
        <v>69</v>
      </c>
      <c r="AN132" s="3">
        <f>Results!$O$48</f>
        <v>11</v>
      </c>
      <c r="AO132" s="11">
        <v>3</v>
      </c>
      <c r="AP132" s="3">
        <f t="shared" ref="AP132:AP135" si="261">AN132*AO132</f>
        <v>33</v>
      </c>
      <c r="AQ132" s="3" t="s">
        <v>19</v>
      </c>
      <c r="AR132" s="3">
        <f>Results!$O$53</f>
        <v>1</v>
      </c>
      <c r="AS132" s="11">
        <v>2</v>
      </c>
      <c r="AT132" s="3">
        <f t="shared" ref="AT132:AT135" si="262">AR132*AS132</f>
        <v>2</v>
      </c>
      <c r="AU132" s="3" t="s">
        <v>10</v>
      </c>
      <c r="AV132" s="3">
        <f>Results!$O$58</f>
        <v>11</v>
      </c>
      <c r="AW132" s="11">
        <v>3</v>
      </c>
      <c r="AX132" s="3">
        <f t="shared" ref="AX132:AX135" si="263">AV132*AW132</f>
        <v>33</v>
      </c>
    </row>
    <row r="133" spans="1:50" ht="13.5" customHeight="1" x14ac:dyDescent="0.2">
      <c r="A133" s="3" t="s">
        <v>66</v>
      </c>
      <c r="B133" s="3">
        <f>Results!$O$44</f>
        <v>-1</v>
      </c>
      <c r="C133" s="11">
        <v>1</v>
      </c>
      <c r="D133" s="3">
        <f t="shared" si="252"/>
        <v>-1</v>
      </c>
      <c r="E133" s="3" t="s">
        <v>116</v>
      </c>
      <c r="F133" s="3">
        <f>Results!$O$49</f>
        <v>-3</v>
      </c>
      <c r="G133" s="11">
        <v>1</v>
      </c>
      <c r="H133" s="3">
        <f t="shared" si="253"/>
        <v>-3</v>
      </c>
      <c r="I133" s="3" t="s">
        <v>119</v>
      </c>
      <c r="J133" s="3">
        <f>Results!$O$54</f>
        <v>3</v>
      </c>
      <c r="K133" s="11">
        <v>1</v>
      </c>
      <c r="L133" s="3">
        <f t="shared" si="254"/>
        <v>3</v>
      </c>
      <c r="M133" s="3" t="s">
        <v>16</v>
      </c>
      <c r="N133" s="3">
        <f>Results!$O$59</f>
        <v>0</v>
      </c>
      <c r="O133" s="11">
        <v>3</v>
      </c>
      <c r="P133" s="3">
        <f t="shared" si="255"/>
        <v>0</v>
      </c>
      <c r="R133" s="3" t="s">
        <v>66</v>
      </c>
      <c r="S133" s="3">
        <f>Results!$O$44</f>
        <v>-1</v>
      </c>
      <c r="T133" s="11">
        <v>2</v>
      </c>
      <c r="U133" s="3">
        <f t="shared" si="256"/>
        <v>-2</v>
      </c>
      <c r="V133" s="3" t="s">
        <v>116</v>
      </c>
      <c r="W133" s="3">
        <f>Results!$O$49</f>
        <v>-3</v>
      </c>
      <c r="X133" s="11">
        <v>1</v>
      </c>
      <c r="Y133" s="3">
        <f t="shared" si="257"/>
        <v>-3</v>
      </c>
      <c r="Z133" s="3" t="s">
        <v>119</v>
      </c>
      <c r="AA133" s="3">
        <f>Results!$O$54</f>
        <v>3</v>
      </c>
      <c r="AB133" s="11">
        <v>1</v>
      </c>
      <c r="AC133" s="3">
        <f t="shared" si="258"/>
        <v>3</v>
      </c>
      <c r="AD133" s="3" t="s">
        <v>16</v>
      </c>
      <c r="AE133" s="3">
        <f>Results!$O$59</f>
        <v>0</v>
      </c>
      <c r="AF133" s="11">
        <v>2</v>
      </c>
      <c r="AG133" s="3">
        <f t="shared" si="259"/>
        <v>0</v>
      </c>
      <c r="AI133" s="3" t="s">
        <v>66</v>
      </c>
      <c r="AJ133" s="3">
        <f>Results!$O$44</f>
        <v>-1</v>
      </c>
      <c r="AK133" s="11">
        <v>1</v>
      </c>
      <c r="AL133" s="3">
        <f t="shared" si="260"/>
        <v>-1</v>
      </c>
      <c r="AM133" s="3" t="s">
        <v>116</v>
      </c>
      <c r="AN133" s="3">
        <f>Results!$O$49</f>
        <v>-3</v>
      </c>
      <c r="AO133" s="11"/>
      <c r="AP133" s="3">
        <f t="shared" si="261"/>
        <v>0</v>
      </c>
      <c r="AQ133" s="3" t="s">
        <v>119</v>
      </c>
      <c r="AR133" s="3">
        <f>Results!$O$54</f>
        <v>3</v>
      </c>
      <c r="AS133" s="11">
        <v>1</v>
      </c>
      <c r="AT133" s="3">
        <f t="shared" si="262"/>
        <v>3</v>
      </c>
      <c r="AU133" s="3" t="s">
        <v>16</v>
      </c>
      <c r="AV133" s="3">
        <f>Results!$O$59</f>
        <v>0</v>
      </c>
      <c r="AW133" s="11">
        <v>1</v>
      </c>
      <c r="AX133" s="3">
        <f t="shared" si="263"/>
        <v>0</v>
      </c>
    </row>
    <row r="134" spans="1:50" ht="13.5" customHeight="1" x14ac:dyDescent="0.2">
      <c r="A134" s="3" t="s">
        <v>114</v>
      </c>
      <c r="B134" s="3">
        <f>Results!$O$45</f>
        <v>-3</v>
      </c>
      <c r="C134" s="11"/>
      <c r="D134" s="3">
        <f t="shared" si="252"/>
        <v>0</v>
      </c>
      <c r="E134" s="3" t="s">
        <v>117</v>
      </c>
      <c r="F134" s="3">
        <f>Results!$O$50</f>
        <v>9</v>
      </c>
      <c r="G134" s="11">
        <v>2</v>
      </c>
      <c r="H134" s="3">
        <f t="shared" si="253"/>
        <v>18</v>
      </c>
      <c r="I134" s="3" t="s">
        <v>120</v>
      </c>
      <c r="J134" s="3">
        <f>Results!$O$55</f>
        <v>-2</v>
      </c>
      <c r="K134" s="11"/>
      <c r="L134" s="3">
        <f t="shared" si="254"/>
        <v>0</v>
      </c>
      <c r="M134" s="3" t="s">
        <v>83</v>
      </c>
      <c r="N134" s="3">
        <f>Results!$O$60</f>
        <v>6</v>
      </c>
      <c r="O134" s="11">
        <v>2</v>
      </c>
      <c r="P134" s="3">
        <f t="shared" si="255"/>
        <v>12</v>
      </c>
      <c r="R134" s="3" t="s">
        <v>114</v>
      </c>
      <c r="S134" s="3">
        <f>Results!$O$45</f>
        <v>-3</v>
      </c>
      <c r="T134" s="11">
        <v>1</v>
      </c>
      <c r="U134" s="3">
        <f t="shared" si="256"/>
        <v>-3</v>
      </c>
      <c r="V134" s="3" t="s">
        <v>117</v>
      </c>
      <c r="W134" s="3">
        <f>Results!$O$50</f>
        <v>9</v>
      </c>
      <c r="X134" s="11">
        <v>2</v>
      </c>
      <c r="Y134" s="3">
        <f t="shared" si="257"/>
        <v>18</v>
      </c>
      <c r="Z134" s="3" t="s">
        <v>120</v>
      </c>
      <c r="AA134" s="3">
        <f>Results!$O$55</f>
        <v>-2</v>
      </c>
      <c r="AB134" s="11"/>
      <c r="AC134" s="3">
        <f t="shared" si="258"/>
        <v>0</v>
      </c>
      <c r="AD134" s="3" t="s">
        <v>83</v>
      </c>
      <c r="AE134" s="3">
        <f>Results!$O$60</f>
        <v>6</v>
      </c>
      <c r="AF134" s="11">
        <v>1</v>
      </c>
      <c r="AG134" s="3">
        <f t="shared" si="259"/>
        <v>6</v>
      </c>
      <c r="AI134" s="3" t="s">
        <v>114</v>
      </c>
      <c r="AJ134" s="3">
        <f>Results!$O$45</f>
        <v>-3</v>
      </c>
      <c r="AK134" s="11"/>
      <c r="AL134" s="3">
        <f t="shared" si="260"/>
        <v>0</v>
      </c>
      <c r="AM134" s="3" t="s">
        <v>117</v>
      </c>
      <c r="AN134" s="3">
        <f>Results!$O$50</f>
        <v>9</v>
      </c>
      <c r="AO134" s="11">
        <v>2</v>
      </c>
      <c r="AP134" s="3">
        <f t="shared" si="261"/>
        <v>18</v>
      </c>
      <c r="AQ134" s="3" t="s">
        <v>120</v>
      </c>
      <c r="AR134" s="3">
        <f>Results!$O$55</f>
        <v>-2</v>
      </c>
      <c r="AS134" s="11"/>
      <c r="AT134" s="3">
        <f t="shared" si="262"/>
        <v>0</v>
      </c>
      <c r="AU134" s="3" t="s">
        <v>83</v>
      </c>
      <c r="AV134" s="3">
        <f>Results!$O$60</f>
        <v>6</v>
      </c>
      <c r="AW134" s="11">
        <v>2</v>
      </c>
      <c r="AX134" s="3">
        <f t="shared" si="263"/>
        <v>12</v>
      </c>
    </row>
    <row r="135" spans="1:50" ht="13.5" customHeight="1" thickBot="1" x14ac:dyDescent="0.25">
      <c r="A135" s="19" t="s">
        <v>115</v>
      </c>
      <c r="B135" s="19">
        <f>Results!$O$46</f>
        <v>12</v>
      </c>
      <c r="C135" s="20">
        <v>2</v>
      </c>
      <c r="D135" s="19">
        <f t="shared" si="252"/>
        <v>24</v>
      </c>
      <c r="E135" s="19" t="s">
        <v>118</v>
      </c>
      <c r="F135" s="19">
        <f>Results!$O$51</f>
        <v>-1</v>
      </c>
      <c r="G135" s="20"/>
      <c r="H135" s="19">
        <f t="shared" si="253"/>
        <v>0</v>
      </c>
      <c r="I135" s="19" t="s">
        <v>121</v>
      </c>
      <c r="J135" s="19">
        <f>Results!$O$56</f>
        <v>9</v>
      </c>
      <c r="K135" s="20">
        <v>2</v>
      </c>
      <c r="L135" s="19">
        <f t="shared" si="254"/>
        <v>18</v>
      </c>
      <c r="M135" s="19" t="s">
        <v>122</v>
      </c>
      <c r="N135" s="19">
        <f>Results!$O$61</f>
        <v>-3</v>
      </c>
      <c r="O135" s="20">
        <v>1</v>
      </c>
      <c r="P135" s="19">
        <f t="shared" si="255"/>
        <v>-3</v>
      </c>
      <c r="R135" s="19" t="s">
        <v>115</v>
      </c>
      <c r="S135" s="19">
        <f>Results!$O$46</f>
        <v>12</v>
      </c>
      <c r="T135" s="20">
        <v>3</v>
      </c>
      <c r="U135" s="19">
        <f t="shared" si="256"/>
        <v>36</v>
      </c>
      <c r="V135" s="19" t="s">
        <v>118</v>
      </c>
      <c r="W135" s="19">
        <f>Results!$O$51</f>
        <v>-1</v>
      </c>
      <c r="X135" s="20"/>
      <c r="Y135" s="19">
        <f t="shared" si="257"/>
        <v>0</v>
      </c>
      <c r="Z135" s="19" t="s">
        <v>121</v>
      </c>
      <c r="AA135" s="19">
        <f>Results!$O$56</f>
        <v>9</v>
      </c>
      <c r="AB135" s="20">
        <v>2</v>
      </c>
      <c r="AC135" s="19">
        <f t="shared" si="258"/>
        <v>18</v>
      </c>
      <c r="AD135" s="19" t="s">
        <v>122</v>
      </c>
      <c r="AE135" s="19">
        <f>Results!$O$61</f>
        <v>-3</v>
      </c>
      <c r="AF135" s="20"/>
      <c r="AG135" s="19">
        <f t="shared" si="259"/>
        <v>0</v>
      </c>
      <c r="AI135" s="19" t="s">
        <v>115</v>
      </c>
      <c r="AJ135" s="19">
        <f>Results!$O$46</f>
        <v>12</v>
      </c>
      <c r="AK135" s="20">
        <v>2</v>
      </c>
      <c r="AL135" s="19">
        <f t="shared" si="260"/>
        <v>24</v>
      </c>
      <c r="AM135" s="19" t="s">
        <v>118</v>
      </c>
      <c r="AN135" s="19">
        <f>Results!$O$51</f>
        <v>-1</v>
      </c>
      <c r="AO135" s="20">
        <v>1</v>
      </c>
      <c r="AP135" s="19">
        <f t="shared" si="261"/>
        <v>-1</v>
      </c>
      <c r="AQ135" s="19" t="s">
        <v>121</v>
      </c>
      <c r="AR135" s="19">
        <f>Results!$O$56</f>
        <v>9</v>
      </c>
      <c r="AS135" s="20">
        <v>3</v>
      </c>
      <c r="AT135" s="19">
        <f t="shared" si="262"/>
        <v>27</v>
      </c>
      <c r="AU135" s="19" t="s">
        <v>122</v>
      </c>
      <c r="AV135" s="19">
        <f>Results!$O$61</f>
        <v>-3</v>
      </c>
      <c r="AW135" s="20"/>
      <c r="AX135" s="19">
        <f t="shared" si="263"/>
        <v>0</v>
      </c>
    </row>
    <row r="136" spans="1:50" s="27" customFormat="1" ht="13.5" customHeight="1" thickBot="1" x14ac:dyDescent="0.25">
      <c r="A136" s="28"/>
      <c r="B136" s="33"/>
      <c r="C136" s="34"/>
      <c r="D136" s="33"/>
      <c r="E136" s="28"/>
      <c r="F136" s="33"/>
      <c r="G136" s="34"/>
      <c r="H136" s="33"/>
      <c r="I136" s="28"/>
      <c r="J136" s="33"/>
      <c r="K136" s="34"/>
      <c r="L136" s="33"/>
      <c r="M136" s="28"/>
      <c r="N136" s="33"/>
      <c r="O136" s="34"/>
      <c r="P136" s="33"/>
      <c r="R136" s="28"/>
      <c r="S136" s="33"/>
      <c r="T136" s="34"/>
      <c r="U136" s="33"/>
      <c r="V136" s="28"/>
      <c r="W136" s="33"/>
      <c r="X136" s="34"/>
      <c r="Y136" s="33"/>
      <c r="Z136" s="28"/>
      <c r="AA136" s="33"/>
      <c r="AB136" s="34"/>
      <c r="AC136" s="33"/>
      <c r="AD136" s="28"/>
      <c r="AE136" s="33"/>
      <c r="AF136" s="34"/>
      <c r="AG136" s="33"/>
      <c r="AI136" s="28"/>
      <c r="AJ136" s="33"/>
      <c r="AK136" s="34"/>
      <c r="AL136" s="33"/>
      <c r="AM136" s="28"/>
      <c r="AN136" s="33"/>
      <c r="AO136" s="34"/>
      <c r="AP136" s="33"/>
      <c r="AQ136" s="28"/>
      <c r="AR136" s="33"/>
      <c r="AS136" s="34"/>
      <c r="AT136" s="33"/>
      <c r="AU136" s="28"/>
      <c r="AV136" s="33"/>
      <c r="AW136" s="34"/>
      <c r="AX136" s="33"/>
    </row>
    <row r="137" spans="1:50" ht="13.5" customHeight="1" x14ac:dyDescent="0.2">
      <c r="A137" s="12" t="s">
        <v>0</v>
      </c>
      <c r="B137" s="59" t="s">
        <v>59</v>
      </c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13" t="s">
        <v>50</v>
      </c>
      <c r="N137" s="61">
        <f>SUM(D139:D142,D144:D147,H139:H142, H144:H147,L139:L142,L144:L147,P139:P142,P144:P147,P149:P152,D149:D152,H149:H152,L149:L152)</f>
        <v>389</v>
      </c>
      <c r="O137" s="60"/>
      <c r="P137" s="62"/>
      <c r="R137" s="12" t="s">
        <v>0</v>
      </c>
      <c r="S137" s="59" t="s">
        <v>140</v>
      </c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13" t="s">
        <v>50</v>
      </c>
      <c r="AE137" s="61">
        <f>SUM(U139:U142,U144:U147,Y139:Y142, Y144:Y147,AC139:AC142,AC144:AC147,AG139:AG142,AG144:AG147,U149:U152,Y149:Y152,AC149:AC152,AG149:AG152)</f>
        <v>353</v>
      </c>
      <c r="AF137" s="60"/>
      <c r="AG137" s="62"/>
      <c r="AI137" s="12" t="s">
        <v>0</v>
      </c>
      <c r="AJ137" s="59" t="s">
        <v>150</v>
      </c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13" t="s">
        <v>50</v>
      </c>
      <c r="AV137" s="61">
        <f>SUM(AL139:AL142,AL144:AL147,AP139:AP142, AP144:AP147,AT139:AT142,AT144:AT147,AX139:AX142,AX144:AX147,AL149:AL152,AP149:AP152,AT149:AT152,AX149:AX152)</f>
        <v>352</v>
      </c>
      <c r="AW137" s="60"/>
      <c r="AX137" s="62"/>
    </row>
    <row r="138" spans="1:50" ht="13.5" customHeight="1" x14ac:dyDescent="0.2">
      <c r="A138" s="14" t="s">
        <v>3</v>
      </c>
      <c r="B138" s="15" t="s">
        <v>51</v>
      </c>
      <c r="C138" s="16" t="s">
        <v>21</v>
      </c>
      <c r="D138" s="15" t="s">
        <v>49</v>
      </c>
      <c r="E138" s="15" t="s">
        <v>6</v>
      </c>
      <c r="F138" s="15" t="s">
        <v>51</v>
      </c>
      <c r="G138" s="16" t="s">
        <v>21</v>
      </c>
      <c r="H138" s="15" t="s">
        <v>49</v>
      </c>
      <c r="I138" s="15" t="s">
        <v>7</v>
      </c>
      <c r="J138" s="15" t="s">
        <v>51</v>
      </c>
      <c r="K138" s="16" t="s">
        <v>21</v>
      </c>
      <c r="L138" s="15" t="s">
        <v>49</v>
      </c>
      <c r="M138" s="15" t="s">
        <v>13</v>
      </c>
      <c r="N138" s="15" t="s">
        <v>51</v>
      </c>
      <c r="O138" s="16" t="s">
        <v>21</v>
      </c>
      <c r="P138" s="17" t="s">
        <v>49</v>
      </c>
      <c r="R138" s="14" t="s">
        <v>3</v>
      </c>
      <c r="S138" s="15" t="s">
        <v>51</v>
      </c>
      <c r="T138" s="16" t="s">
        <v>21</v>
      </c>
      <c r="U138" s="15" t="s">
        <v>49</v>
      </c>
      <c r="V138" s="15" t="s">
        <v>6</v>
      </c>
      <c r="W138" s="15" t="s">
        <v>51</v>
      </c>
      <c r="X138" s="16" t="s">
        <v>21</v>
      </c>
      <c r="Y138" s="15" t="s">
        <v>49</v>
      </c>
      <c r="Z138" s="15" t="s">
        <v>7</v>
      </c>
      <c r="AA138" s="15" t="s">
        <v>51</v>
      </c>
      <c r="AB138" s="16" t="s">
        <v>21</v>
      </c>
      <c r="AC138" s="15" t="s">
        <v>49</v>
      </c>
      <c r="AD138" s="15" t="s">
        <v>13</v>
      </c>
      <c r="AE138" s="15" t="s">
        <v>51</v>
      </c>
      <c r="AF138" s="16" t="s">
        <v>21</v>
      </c>
      <c r="AG138" s="17" t="s">
        <v>49</v>
      </c>
      <c r="AI138" s="14" t="s">
        <v>3</v>
      </c>
      <c r="AJ138" s="15" t="s">
        <v>51</v>
      </c>
      <c r="AK138" s="16" t="s">
        <v>21</v>
      </c>
      <c r="AL138" s="15" t="s">
        <v>49</v>
      </c>
      <c r="AM138" s="15" t="s">
        <v>6</v>
      </c>
      <c r="AN138" s="15" t="s">
        <v>51</v>
      </c>
      <c r="AO138" s="16" t="s">
        <v>21</v>
      </c>
      <c r="AP138" s="15" t="s">
        <v>49</v>
      </c>
      <c r="AQ138" s="15" t="s">
        <v>7</v>
      </c>
      <c r="AR138" s="15" t="s">
        <v>51</v>
      </c>
      <c r="AS138" s="16" t="s">
        <v>21</v>
      </c>
      <c r="AT138" s="15" t="s">
        <v>49</v>
      </c>
      <c r="AU138" s="15" t="s">
        <v>13</v>
      </c>
      <c r="AV138" s="15" t="s">
        <v>51</v>
      </c>
      <c r="AW138" s="16" t="s">
        <v>21</v>
      </c>
      <c r="AX138" s="17" t="s">
        <v>49</v>
      </c>
    </row>
    <row r="139" spans="1:50" ht="13.5" customHeight="1" x14ac:dyDescent="0.2">
      <c r="A139" s="3" t="s">
        <v>71</v>
      </c>
      <c r="B139" s="3">
        <f>Results!$O$3</f>
        <v>3</v>
      </c>
      <c r="C139" s="11">
        <v>3</v>
      </c>
      <c r="D139" s="3">
        <f t="shared" ref="D139:D142" si="264">B139*C139</f>
        <v>9</v>
      </c>
      <c r="E139" s="3" t="s">
        <v>76</v>
      </c>
      <c r="F139" s="3">
        <f>Results!$O$8</f>
        <v>2</v>
      </c>
      <c r="G139" s="11">
        <v>1</v>
      </c>
      <c r="H139" s="3">
        <f t="shared" ref="H139:H142" si="265">F139*G139</f>
        <v>2</v>
      </c>
      <c r="I139" s="3" t="s">
        <v>80</v>
      </c>
      <c r="J139" s="3">
        <f>Results!$O$13</f>
        <v>2</v>
      </c>
      <c r="K139" s="11">
        <v>3</v>
      </c>
      <c r="L139" s="3">
        <f t="shared" ref="L139:L142" si="266">J139*K139</f>
        <v>6</v>
      </c>
      <c r="M139" s="3" t="s">
        <v>68</v>
      </c>
      <c r="N139" s="3">
        <f>Results!$O$18</f>
        <v>11</v>
      </c>
      <c r="O139" s="11">
        <v>3</v>
      </c>
      <c r="P139" s="18">
        <f>N139*O139</f>
        <v>33</v>
      </c>
      <c r="R139" s="3" t="s">
        <v>71</v>
      </c>
      <c r="S139" s="3">
        <f>Results!$O$3</f>
        <v>3</v>
      </c>
      <c r="T139" s="11">
        <v>3</v>
      </c>
      <c r="U139" s="3">
        <f t="shared" ref="U139:U142" si="267">S139*T139</f>
        <v>9</v>
      </c>
      <c r="V139" s="3" t="s">
        <v>76</v>
      </c>
      <c r="W139" s="3">
        <f>Results!$O$8</f>
        <v>2</v>
      </c>
      <c r="X139" s="11">
        <v>2</v>
      </c>
      <c r="Y139" s="3">
        <f t="shared" ref="Y139:Y142" si="268">W139*X139</f>
        <v>4</v>
      </c>
      <c r="Z139" s="3" t="s">
        <v>80</v>
      </c>
      <c r="AA139" s="3">
        <f>Results!$O$13</f>
        <v>2</v>
      </c>
      <c r="AB139" s="11">
        <v>3</v>
      </c>
      <c r="AC139" s="3">
        <f t="shared" ref="AC139:AC142" si="269">AA139*AB139</f>
        <v>6</v>
      </c>
      <c r="AD139" s="3" t="s">
        <v>68</v>
      </c>
      <c r="AE139" s="3">
        <f>Results!$O$18</f>
        <v>11</v>
      </c>
      <c r="AF139" s="11">
        <v>3</v>
      </c>
      <c r="AG139" s="18">
        <f>AE139*AF139</f>
        <v>33</v>
      </c>
      <c r="AI139" s="3" t="s">
        <v>71</v>
      </c>
      <c r="AJ139" s="3">
        <f>Results!$O$3</f>
        <v>3</v>
      </c>
      <c r="AK139" s="11">
        <v>3</v>
      </c>
      <c r="AL139" s="3">
        <f t="shared" ref="AL139:AL142" si="270">AJ139*AK139</f>
        <v>9</v>
      </c>
      <c r="AM139" s="3" t="s">
        <v>76</v>
      </c>
      <c r="AN139" s="3">
        <f>Results!$O$8</f>
        <v>2</v>
      </c>
      <c r="AO139" s="11">
        <v>2</v>
      </c>
      <c r="AP139" s="3">
        <f t="shared" ref="AP139:AP142" si="271">AN139*AO139</f>
        <v>4</v>
      </c>
      <c r="AQ139" s="3" t="s">
        <v>80</v>
      </c>
      <c r="AR139" s="3">
        <f>Results!$O$13</f>
        <v>2</v>
      </c>
      <c r="AS139" s="11">
        <v>3</v>
      </c>
      <c r="AT139" s="3">
        <f t="shared" ref="AT139:AT142" si="272">AR139*AS139</f>
        <v>6</v>
      </c>
      <c r="AU139" s="3" t="s">
        <v>68</v>
      </c>
      <c r="AV139" s="3">
        <f>Results!$O$18</f>
        <v>11</v>
      </c>
      <c r="AW139" s="11">
        <v>2</v>
      </c>
      <c r="AX139" s="18">
        <f>AV139*AW139</f>
        <v>22</v>
      </c>
    </row>
    <row r="140" spans="1:50" ht="13.5" customHeight="1" x14ac:dyDescent="0.2">
      <c r="A140" s="3" t="s">
        <v>123</v>
      </c>
      <c r="B140" s="3">
        <f>Results!$O$4</f>
        <v>-14</v>
      </c>
      <c r="C140" s="11"/>
      <c r="D140" s="3">
        <f t="shared" si="264"/>
        <v>0</v>
      </c>
      <c r="E140" s="3" t="s">
        <v>103</v>
      </c>
      <c r="F140" s="3">
        <f>Results!$O$9</f>
        <v>1</v>
      </c>
      <c r="G140" s="11">
        <v>2</v>
      </c>
      <c r="H140" s="3">
        <f t="shared" si="265"/>
        <v>2</v>
      </c>
      <c r="I140" s="3" t="s">
        <v>77</v>
      </c>
      <c r="J140" s="3">
        <f>Results!$O$14</f>
        <v>4</v>
      </c>
      <c r="K140" s="11">
        <v>2</v>
      </c>
      <c r="L140" s="3">
        <f t="shared" si="266"/>
        <v>8</v>
      </c>
      <c r="M140" s="3" t="s">
        <v>106</v>
      </c>
      <c r="N140" s="3">
        <f>Results!$O$19</f>
        <v>-7</v>
      </c>
      <c r="O140" s="11">
        <v>2</v>
      </c>
      <c r="P140" s="18">
        <f>N140*O140</f>
        <v>-14</v>
      </c>
      <c r="R140" s="3" t="s">
        <v>123</v>
      </c>
      <c r="S140" s="3">
        <f>Results!$O$4</f>
        <v>-14</v>
      </c>
      <c r="T140" s="11"/>
      <c r="U140" s="3">
        <f t="shared" si="267"/>
        <v>0</v>
      </c>
      <c r="V140" s="3" t="s">
        <v>103</v>
      </c>
      <c r="W140" s="3">
        <f>Results!$O$9</f>
        <v>1</v>
      </c>
      <c r="X140" s="11"/>
      <c r="Y140" s="3">
        <f t="shared" si="268"/>
        <v>0</v>
      </c>
      <c r="Z140" s="3" t="s">
        <v>77</v>
      </c>
      <c r="AA140" s="3">
        <f>Results!$O$14</f>
        <v>4</v>
      </c>
      <c r="AB140" s="11">
        <v>2</v>
      </c>
      <c r="AC140" s="3">
        <f t="shared" si="269"/>
        <v>8</v>
      </c>
      <c r="AD140" s="3" t="s">
        <v>106</v>
      </c>
      <c r="AE140" s="3">
        <f>Results!$O$19</f>
        <v>-7</v>
      </c>
      <c r="AF140" s="11">
        <v>1</v>
      </c>
      <c r="AG140" s="18">
        <f>AE140*AF140</f>
        <v>-7</v>
      </c>
      <c r="AI140" s="3" t="s">
        <v>123</v>
      </c>
      <c r="AJ140" s="3">
        <f>Results!$O$4</f>
        <v>-14</v>
      </c>
      <c r="AK140" s="11">
        <v>1</v>
      </c>
      <c r="AL140" s="3">
        <f t="shared" si="270"/>
        <v>-14</v>
      </c>
      <c r="AM140" s="3" t="s">
        <v>103</v>
      </c>
      <c r="AN140" s="3">
        <f>Results!$O$9</f>
        <v>1</v>
      </c>
      <c r="AO140" s="11">
        <v>1</v>
      </c>
      <c r="AP140" s="3">
        <f t="shared" si="271"/>
        <v>1</v>
      </c>
      <c r="AQ140" s="3" t="s">
        <v>77</v>
      </c>
      <c r="AR140" s="3">
        <f>Results!$O$14</f>
        <v>4</v>
      </c>
      <c r="AS140" s="11">
        <v>2</v>
      </c>
      <c r="AT140" s="3">
        <f t="shared" si="272"/>
        <v>8</v>
      </c>
      <c r="AU140" s="3" t="s">
        <v>106</v>
      </c>
      <c r="AV140" s="3">
        <f>Results!$O$19</f>
        <v>-7</v>
      </c>
      <c r="AW140" s="11">
        <v>1</v>
      </c>
      <c r="AX140" s="18">
        <f>AV140*AW140</f>
        <v>-7</v>
      </c>
    </row>
    <row r="141" spans="1:50" ht="13.5" customHeight="1" x14ac:dyDescent="0.2">
      <c r="A141" s="3" t="s">
        <v>124</v>
      </c>
      <c r="B141" s="3">
        <f>Results!$O$5</f>
        <v>7</v>
      </c>
      <c r="C141" s="11">
        <v>2</v>
      </c>
      <c r="D141" s="3">
        <f t="shared" si="264"/>
        <v>14</v>
      </c>
      <c r="E141" s="3" t="s">
        <v>65</v>
      </c>
      <c r="F141" s="3">
        <f>Results!$O$10</f>
        <v>2</v>
      </c>
      <c r="G141" s="11"/>
      <c r="H141" s="3">
        <f t="shared" si="265"/>
        <v>0</v>
      </c>
      <c r="I141" s="3" t="s">
        <v>104</v>
      </c>
      <c r="J141" s="3">
        <f>Results!$O$15</f>
        <v>-2</v>
      </c>
      <c r="K141" s="11"/>
      <c r="L141" s="3">
        <f t="shared" si="266"/>
        <v>0</v>
      </c>
      <c r="M141" s="3" t="s">
        <v>72</v>
      </c>
      <c r="N141" s="3">
        <f>Results!$O$20</f>
        <v>9</v>
      </c>
      <c r="O141" s="11">
        <v>1</v>
      </c>
      <c r="P141" s="18">
        <f>N141*O141</f>
        <v>9</v>
      </c>
      <c r="R141" s="3" t="s">
        <v>124</v>
      </c>
      <c r="S141" s="3">
        <f>Results!$O$5</f>
        <v>7</v>
      </c>
      <c r="T141" s="11">
        <v>1</v>
      </c>
      <c r="U141" s="3">
        <f t="shared" si="267"/>
        <v>7</v>
      </c>
      <c r="V141" s="3" t="s">
        <v>65</v>
      </c>
      <c r="W141" s="3">
        <f>Results!$O$10</f>
        <v>2</v>
      </c>
      <c r="X141" s="11">
        <v>1</v>
      </c>
      <c r="Y141" s="3">
        <f t="shared" si="268"/>
        <v>2</v>
      </c>
      <c r="Z141" s="3" t="s">
        <v>104</v>
      </c>
      <c r="AA141" s="3">
        <f>Results!$O$15</f>
        <v>-2</v>
      </c>
      <c r="AB141" s="11"/>
      <c r="AC141" s="3">
        <f t="shared" si="269"/>
        <v>0</v>
      </c>
      <c r="AD141" s="3" t="s">
        <v>72</v>
      </c>
      <c r="AE141" s="3">
        <f>Results!$O$20</f>
        <v>9</v>
      </c>
      <c r="AF141" s="11"/>
      <c r="AG141" s="18">
        <f>AE141*AF141</f>
        <v>0</v>
      </c>
      <c r="AI141" s="3" t="s">
        <v>124</v>
      </c>
      <c r="AJ141" s="3">
        <f>Results!$O$5</f>
        <v>7</v>
      </c>
      <c r="AK141" s="11">
        <v>2</v>
      </c>
      <c r="AL141" s="3">
        <f t="shared" si="270"/>
        <v>14</v>
      </c>
      <c r="AM141" s="3" t="s">
        <v>65</v>
      </c>
      <c r="AN141" s="3">
        <f>Results!$O$10</f>
        <v>2</v>
      </c>
      <c r="AO141" s="11"/>
      <c r="AP141" s="3">
        <f t="shared" si="271"/>
        <v>0</v>
      </c>
      <c r="AQ141" s="3" t="s">
        <v>104</v>
      </c>
      <c r="AR141" s="3">
        <f>Results!$O$15</f>
        <v>-2</v>
      </c>
      <c r="AS141" s="11"/>
      <c r="AT141" s="3">
        <f t="shared" si="272"/>
        <v>0</v>
      </c>
      <c r="AU141" s="3" t="s">
        <v>72</v>
      </c>
      <c r="AV141" s="3">
        <f>Results!$O$20</f>
        <v>9</v>
      </c>
      <c r="AW141" s="11"/>
      <c r="AX141" s="18">
        <f>AV141*AW141</f>
        <v>0</v>
      </c>
    </row>
    <row r="142" spans="1:50" ht="13.5" customHeight="1" x14ac:dyDescent="0.2">
      <c r="A142" s="3" t="s">
        <v>102</v>
      </c>
      <c r="B142" s="3">
        <f>Results!$O$6</f>
        <v>0</v>
      </c>
      <c r="C142" s="11">
        <v>1</v>
      </c>
      <c r="D142" s="3">
        <f t="shared" si="264"/>
        <v>0</v>
      </c>
      <c r="E142" s="3" t="s">
        <v>12</v>
      </c>
      <c r="F142" s="3">
        <f>Results!$O$11</f>
        <v>3</v>
      </c>
      <c r="G142" s="11">
        <v>3</v>
      </c>
      <c r="H142" s="3">
        <f t="shared" si="265"/>
        <v>9</v>
      </c>
      <c r="I142" s="3" t="s">
        <v>105</v>
      </c>
      <c r="J142" s="3">
        <f>Results!$O$16</f>
        <v>4</v>
      </c>
      <c r="K142" s="11">
        <v>1</v>
      </c>
      <c r="L142" s="3">
        <f t="shared" si="266"/>
        <v>4</v>
      </c>
      <c r="M142" s="3" t="s">
        <v>107</v>
      </c>
      <c r="N142" s="3">
        <f>Results!$O$21</f>
        <v>-3</v>
      </c>
      <c r="O142" s="11"/>
      <c r="P142" s="18">
        <f>N142*O142</f>
        <v>0</v>
      </c>
      <c r="R142" s="3" t="s">
        <v>102</v>
      </c>
      <c r="S142" s="3">
        <f>Results!$O$6</f>
        <v>0</v>
      </c>
      <c r="T142" s="11">
        <v>2</v>
      </c>
      <c r="U142" s="3">
        <f t="shared" si="267"/>
        <v>0</v>
      </c>
      <c r="V142" s="3" t="s">
        <v>12</v>
      </c>
      <c r="W142" s="3">
        <f>Results!$O$11</f>
        <v>3</v>
      </c>
      <c r="X142" s="11">
        <v>3</v>
      </c>
      <c r="Y142" s="3">
        <f t="shared" si="268"/>
        <v>9</v>
      </c>
      <c r="Z142" s="3" t="s">
        <v>105</v>
      </c>
      <c r="AA142" s="3">
        <f>Results!$O$16</f>
        <v>4</v>
      </c>
      <c r="AB142" s="11">
        <v>1</v>
      </c>
      <c r="AC142" s="3">
        <f t="shared" si="269"/>
        <v>4</v>
      </c>
      <c r="AD142" s="3" t="s">
        <v>107</v>
      </c>
      <c r="AE142" s="3">
        <f>Results!$O$21</f>
        <v>-3</v>
      </c>
      <c r="AF142" s="11">
        <v>2</v>
      </c>
      <c r="AG142" s="18">
        <f>AE142*AF142</f>
        <v>-6</v>
      </c>
      <c r="AI142" s="3" t="s">
        <v>102</v>
      </c>
      <c r="AJ142" s="3">
        <f>Results!$O$6</f>
        <v>0</v>
      </c>
      <c r="AK142" s="11"/>
      <c r="AL142" s="3">
        <f t="shared" si="270"/>
        <v>0</v>
      </c>
      <c r="AM142" s="3" t="s">
        <v>12</v>
      </c>
      <c r="AN142" s="3">
        <f>Results!$O$11</f>
        <v>3</v>
      </c>
      <c r="AO142" s="11">
        <v>3</v>
      </c>
      <c r="AP142" s="3">
        <f t="shared" si="271"/>
        <v>9</v>
      </c>
      <c r="AQ142" s="3" t="s">
        <v>105</v>
      </c>
      <c r="AR142" s="3">
        <f>Results!$O$16</f>
        <v>4</v>
      </c>
      <c r="AS142" s="11">
        <v>1</v>
      </c>
      <c r="AT142" s="3">
        <f t="shared" si="272"/>
        <v>4</v>
      </c>
      <c r="AU142" s="3" t="s">
        <v>107</v>
      </c>
      <c r="AV142" s="3">
        <f>Results!$O$21</f>
        <v>-3</v>
      </c>
      <c r="AW142" s="11">
        <v>3</v>
      </c>
      <c r="AX142" s="18">
        <f>AV142*AW142</f>
        <v>-9</v>
      </c>
    </row>
    <row r="143" spans="1:50" ht="13.5" customHeight="1" x14ac:dyDescent="0.2">
      <c r="A143" s="14" t="s">
        <v>14</v>
      </c>
      <c r="B143" s="15" t="s">
        <v>51</v>
      </c>
      <c r="C143" s="16" t="s">
        <v>21</v>
      </c>
      <c r="D143" s="15" t="s">
        <v>49</v>
      </c>
      <c r="E143" s="15" t="s">
        <v>15</v>
      </c>
      <c r="F143" s="15" t="s">
        <v>51</v>
      </c>
      <c r="G143" s="16" t="s">
        <v>21</v>
      </c>
      <c r="H143" s="15" t="s">
        <v>49</v>
      </c>
      <c r="I143" s="15" t="s">
        <v>78</v>
      </c>
      <c r="J143" s="15" t="s">
        <v>51</v>
      </c>
      <c r="K143" s="16" t="s">
        <v>21</v>
      </c>
      <c r="L143" s="15" t="s">
        <v>49</v>
      </c>
      <c r="M143" s="15" t="s">
        <v>79</v>
      </c>
      <c r="N143" s="15" t="s">
        <v>51</v>
      </c>
      <c r="O143" s="16" t="s">
        <v>21</v>
      </c>
      <c r="P143" s="15" t="s">
        <v>49</v>
      </c>
      <c r="R143" s="14" t="s">
        <v>14</v>
      </c>
      <c r="S143" s="15" t="s">
        <v>51</v>
      </c>
      <c r="T143" s="16" t="s">
        <v>21</v>
      </c>
      <c r="U143" s="15" t="s">
        <v>49</v>
      </c>
      <c r="V143" s="15" t="s">
        <v>15</v>
      </c>
      <c r="W143" s="15" t="s">
        <v>51</v>
      </c>
      <c r="X143" s="16" t="s">
        <v>21</v>
      </c>
      <c r="Y143" s="15" t="s">
        <v>49</v>
      </c>
      <c r="Z143" s="15" t="s">
        <v>78</v>
      </c>
      <c r="AA143" s="15" t="s">
        <v>51</v>
      </c>
      <c r="AB143" s="16" t="s">
        <v>21</v>
      </c>
      <c r="AC143" s="15" t="s">
        <v>49</v>
      </c>
      <c r="AD143" s="15" t="s">
        <v>79</v>
      </c>
      <c r="AE143" s="15" t="s">
        <v>51</v>
      </c>
      <c r="AF143" s="16" t="s">
        <v>21</v>
      </c>
      <c r="AG143" s="15" t="s">
        <v>49</v>
      </c>
      <c r="AI143" s="14" t="s">
        <v>14</v>
      </c>
      <c r="AJ143" s="15" t="s">
        <v>51</v>
      </c>
      <c r="AK143" s="16" t="s">
        <v>21</v>
      </c>
      <c r="AL143" s="15" t="s">
        <v>49</v>
      </c>
      <c r="AM143" s="15" t="s">
        <v>15</v>
      </c>
      <c r="AN143" s="15" t="s">
        <v>51</v>
      </c>
      <c r="AO143" s="16" t="s">
        <v>21</v>
      </c>
      <c r="AP143" s="15" t="s">
        <v>49</v>
      </c>
      <c r="AQ143" s="15" t="s">
        <v>78</v>
      </c>
      <c r="AR143" s="15" t="s">
        <v>51</v>
      </c>
      <c r="AS143" s="16" t="s">
        <v>21</v>
      </c>
      <c r="AT143" s="15" t="s">
        <v>49</v>
      </c>
      <c r="AU143" s="15" t="s">
        <v>79</v>
      </c>
      <c r="AV143" s="15" t="s">
        <v>51</v>
      </c>
      <c r="AW143" s="16" t="s">
        <v>21</v>
      </c>
      <c r="AX143" s="15" t="s">
        <v>49</v>
      </c>
    </row>
    <row r="144" spans="1:50" ht="13.5" customHeight="1" x14ac:dyDescent="0.2">
      <c r="A144" s="3" t="s">
        <v>11</v>
      </c>
      <c r="B144" s="3">
        <f>Results!$O$23</f>
        <v>18</v>
      </c>
      <c r="C144" s="11">
        <v>3</v>
      </c>
      <c r="D144" s="3">
        <f t="shared" ref="D144:D147" si="273">B144*C144</f>
        <v>54</v>
      </c>
      <c r="E144" s="3" t="s">
        <v>57</v>
      </c>
      <c r="F144" s="3">
        <f>Results!$O$28</f>
        <v>2</v>
      </c>
      <c r="G144" s="11">
        <v>2</v>
      </c>
      <c r="H144" s="3">
        <f t="shared" ref="H144:H147" si="274">F144*G144</f>
        <v>4</v>
      </c>
      <c r="I144" s="3" t="s">
        <v>18</v>
      </c>
      <c r="J144" s="3">
        <f>Results!$O$33</f>
        <v>2</v>
      </c>
      <c r="K144" s="11">
        <v>3</v>
      </c>
      <c r="L144" s="3">
        <f t="shared" ref="L144:L147" si="275">J144*K144</f>
        <v>6</v>
      </c>
      <c r="M144" s="3" t="s">
        <v>17</v>
      </c>
      <c r="N144" s="3">
        <f>Results!$O$38</f>
        <v>2</v>
      </c>
      <c r="O144" s="11">
        <v>3</v>
      </c>
      <c r="P144" s="3">
        <f t="shared" ref="P144:P147" si="276">N144*O144</f>
        <v>6</v>
      </c>
      <c r="R144" s="3" t="s">
        <v>11</v>
      </c>
      <c r="S144" s="3">
        <f>Results!$O$23</f>
        <v>18</v>
      </c>
      <c r="T144" s="11">
        <v>3</v>
      </c>
      <c r="U144" s="3">
        <f t="shared" ref="U144:U147" si="277">S144*T144</f>
        <v>54</v>
      </c>
      <c r="V144" s="3" t="s">
        <v>57</v>
      </c>
      <c r="W144" s="3">
        <f>Results!$O$28</f>
        <v>2</v>
      </c>
      <c r="X144" s="11">
        <v>3</v>
      </c>
      <c r="Y144" s="3">
        <f t="shared" ref="Y144:Y147" si="278">W144*X144</f>
        <v>6</v>
      </c>
      <c r="Z144" s="3" t="s">
        <v>18</v>
      </c>
      <c r="AA144" s="3">
        <f>Results!$O$33</f>
        <v>2</v>
      </c>
      <c r="AB144" s="11">
        <v>3</v>
      </c>
      <c r="AC144" s="3">
        <f t="shared" ref="AC144:AC147" si="279">AA144*AB144</f>
        <v>6</v>
      </c>
      <c r="AD144" s="3" t="s">
        <v>17</v>
      </c>
      <c r="AE144" s="3">
        <f>Results!$O$38</f>
        <v>2</v>
      </c>
      <c r="AF144" s="11">
        <v>3</v>
      </c>
      <c r="AG144" s="3">
        <f t="shared" ref="AG144:AG147" si="280">AE144*AF144</f>
        <v>6</v>
      </c>
      <c r="AI144" s="3" t="s">
        <v>11</v>
      </c>
      <c r="AJ144" s="3">
        <f>Results!$O$23</f>
        <v>18</v>
      </c>
      <c r="AK144" s="11">
        <v>3</v>
      </c>
      <c r="AL144" s="3">
        <f t="shared" ref="AL144:AL147" si="281">AJ144*AK144</f>
        <v>54</v>
      </c>
      <c r="AM144" s="3" t="s">
        <v>57</v>
      </c>
      <c r="AN144" s="3">
        <f>Results!$O$28</f>
        <v>2</v>
      </c>
      <c r="AO144" s="11">
        <v>2</v>
      </c>
      <c r="AP144" s="3">
        <f t="shared" ref="AP144:AP147" si="282">AN144*AO144</f>
        <v>4</v>
      </c>
      <c r="AQ144" s="3" t="s">
        <v>18</v>
      </c>
      <c r="AR144" s="3">
        <f>Results!$O$33</f>
        <v>2</v>
      </c>
      <c r="AS144" s="11">
        <v>3</v>
      </c>
      <c r="AT144" s="3">
        <f t="shared" ref="AT144:AT147" si="283">AR144*AS144</f>
        <v>6</v>
      </c>
      <c r="AU144" s="3" t="s">
        <v>17</v>
      </c>
      <c r="AV144" s="3">
        <f>Results!$O$38</f>
        <v>2</v>
      </c>
      <c r="AW144" s="11">
        <v>3</v>
      </c>
      <c r="AX144" s="3">
        <f t="shared" ref="AX144:AX147" si="284">AV144*AW144</f>
        <v>6</v>
      </c>
    </row>
    <row r="145" spans="1:50" ht="13.5" customHeight="1" x14ac:dyDescent="0.2">
      <c r="A145" s="3" t="s">
        <v>108</v>
      </c>
      <c r="B145" s="3">
        <f>Results!$O$24</f>
        <v>-5</v>
      </c>
      <c r="C145" s="11"/>
      <c r="D145" s="3">
        <f t="shared" si="273"/>
        <v>0</v>
      </c>
      <c r="E145" s="3" t="s">
        <v>75</v>
      </c>
      <c r="F145" s="3">
        <f>Results!$O$29</f>
        <v>5</v>
      </c>
      <c r="G145" s="11">
        <v>3</v>
      </c>
      <c r="H145" s="3">
        <f t="shared" si="274"/>
        <v>15</v>
      </c>
      <c r="I145" s="3" t="s">
        <v>111</v>
      </c>
      <c r="J145" s="3">
        <f>Results!$O$34</f>
        <v>2</v>
      </c>
      <c r="K145" s="11">
        <v>2</v>
      </c>
      <c r="L145" s="3">
        <f t="shared" si="275"/>
        <v>4</v>
      </c>
      <c r="M145" s="3" t="s">
        <v>113</v>
      </c>
      <c r="N145" s="3">
        <f>Results!$O$39</f>
        <v>2</v>
      </c>
      <c r="O145" s="11"/>
      <c r="P145" s="3">
        <f t="shared" si="276"/>
        <v>0</v>
      </c>
      <c r="R145" s="3" t="s">
        <v>108</v>
      </c>
      <c r="S145" s="3">
        <f>Results!$O$24</f>
        <v>-5</v>
      </c>
      <c r="T145" s="11"/>
      <c r="U145" s="3">
        <f t="shared" si="277"/>
        <v>0</v>
      </c>
      <c r="V145" s="3" t="s">
        <v>75</v>
      </c>
      <c r="W145" s="3">
        <f>Results!$O$29</f>
        <v>5</v>
      </c>
      <c r="X145" s="11">
        <v>2</v>
      </c>
      <c r="Y145" s="3">
        <f t="shared" si="278"/>
        <v>10</v>
      </c>
      <c r="Z145" s="3" t="s">
        <v>111</v>
      </c>
      <c r="AA145" s="3">
        <f>Results!$O$34</f>
        <v>2</v>
      </c>
      <c r="AB145" s="11">
        <v>2</v>
      </c>
      <c r="AC145" s="3">
        <f t="shared" si="279"/>
        <v>4</v>
      </c>
      <c r="AD145" s="3" t="s">
        <v>113</v>
      </c>
      <c r="AE145" s="3">
        <f>Results!$O$39</f>
        <v>2</v>
      </c>
      <c r="AF145" s="11"/>
      <c r="AG145" s="3">
        <f t="shared" si="280"/>
        <v>0</v>
      </c>
      <c r="AI145" s="3" t="s">
        <v>108</v>
      </c>
      <c r="AJ145" s="3">
        <f>Results!$O$24</f>
        <v>-5</v>
      </c>
      <c r="AK145" s="11"/>
      <c r="AL145" s="3">
        <f t="shared" si="281"/>
        <v>0</v>
      </c>
      <c r="AM145" s="3" t="s">
        <v>75</v>
      </c>
      <c r="AN145" s="3">
        <f>Results!$O$29</f>
        <v>5</v>
      </c>
      <c r="AO145" s="11">
        <v>3</v>
      </c>
      <c r="AP145" s="3">
        <f t="shared" si="282"/>
        <v>15</v>
      </c>
      <c r="AQ145" s="3" t="s">
        <v>111</v>
      </c>
      <c r="AR145" s="3">
        <f>Results!$O$34</f>
        <v>2</v>
      </c>
      <c r="AS145" s="11">
        <v>2</v>
      </c>
      <c r="AT145" s="3">
        <f t="shared" si="283"/>
        <v>4</v>
      </c>
      <c r="AU145" s="3" t="s">
        <v>113</v>
      </c>
      <c r="AV145" s="3">
        <f>Results!$O$39</f>
        <v>2</v>
      </c>
      <c r="AW145" s="11"/>
      <c r="AX145" s="3">
        <f t="shared" si="284"/>
        <v>0</v>
      </c>
    </row>
    <row r="146" spans="1:50" ht="13.5" customHeight="1" x14ac:dyDescent="0.2">
      <c r="A146" s="3" t="s">
        <v>109</v>
      </c>
      <c r="B146" s="3">
        <f>Results!$O$25</f>
        <v>4</v>
      </c>
      <c r="C146" s="11">
        <v>1</v>
      </c>
      <c r="D146" s="3">
        <f t="shared" si="273"/>
        <v>4</v>
      </c>
      <c r="E146" s="3" t="s">
        <v>110</v>
      </c>
      <c r="F146" s="3">
        <f>Results!$O$30</f>
        <v>14</v>
      </c>
      <c r="G146" s="11">
        <v>1</v>
      </c>
      <c r="H146" s="3">
        <f t="shared" si="274"/>
        <v>14</v>
      </c>
      <c r="I146" s="3" t="s">
        <v>67</v>
      </c>
      <c r="J146" s="3">
        <f>Results!$O$35</f>
        <v>4</v>
      </c>
      <c r="K146" s="11"/>
      <c r="L146" s="3">
        <f t="shared" si="275"/>
        <v>0</v>
      </c>
      <c r="M146" s="3" t="s">
        <v>70</v>
      </c>
      <c r="N146" s="3">
        <f>Results!$O$40</f>
        <v>3</v>
      </c>
      <c r="O146" s="11">
        <v>1</v>
      </c>
      <c r="P146" s="3">
        <f t="shared" si="276"/>
        <v>3</v>
      </c>
      <c r="R146" s="3" t="s">
        <v>109</v>
      </c>
      <c r="S146" s="3">
        <f>Results!$O$25</f>
        <v>4</v>
      </c>
      <c r="T146" s="11">
        <v>2</v>
      </c>
      <c r="U146" s="3">
        <f t="shared" si="277"/>
        <v>8</v>
      </c>
      <c r="V146" s="3" t="s">
        <v>110</v>
      </c>
      <c r="W146" s="3">
        <f>Results!$O$30</f>
        <v>14</v>
      </c>
      <c r="X146" s="11">
        <v>1</v>
      </c>
      <c r="Y146" s="3">
        <f t="shared" si="278"/>
        <v>14</v>
      </c>
      <c r="Z146" s="3" t="s">
        <v>67</v>
      </c>
      <c r="AA146" s="3">
        <f>Results!$O$35</f>
        <v>4</v>
      </c>
      <c r="AB146" s="11">
        <v>1</v>
      </c>
      <c r="AC146" s="3">
        <f t="shared" si="279"/>
        <v>4</v>
      </c>
      <c r="AD146" s="3" t="s">
        <v>70</v>
      </c>
      <c r="AE146" s="3">
        <f>Results!$O$40</f>
        <v>3</v>
      </c>
      <c r="AF146" s="11">
        <v>1</v>
      </c>
      <c r="AG146" s="3">
        <f t="shared" si="280"/>
        <v>3</v>
      </c>
      <c r="AI146" s="3" t="s">
        <v>109</v>
      </c>
      <c r="AJ146" s="3">
        <f>Results!$O$25</f>
        <v>4</v>
      </c>
      <c r="AK146" s="11">
        <v>1</v>
      </c>
      <c r="AL146" s="3">
        <f t="shared" si="281"/>
        <v>4</v>
      </c>
      <c r="AM146" s="3" t="s">
        <v>110</v>
      </c>
      <c r="AN146" s="3">
        <f>Results!$O$30</f>
        <v>14</v>
      </c>
      <c r="AO146" s="11">
        <v>1</v>
      </c>
      <c r="AP146" s="3">
        <f t="shared" si="282"/>
        <v>14</v>
      </c>
      <c r="AQ146" s="3" t="s">
        <v>67</v>
      </c>
      <c r="AR146" s="3">
        <f>Results!$O$35</f>
        <v>4</v>
      </c>
      <c r="AS146" s="11">
        <v>1</v>
      </c>
      <c r="AT146" s="3">
        <f t="shared" si="283"/>
        <v>4</v>
      </c>
      <c r="AU146" s="3" t="s">
        <v>70</v>
      </c>
      <c r="AV146" s="3">
        <f>Results!$O$40</f>
        <v>3</v>
      </c>
      <c r="AW146" s="11">
        <v>1</v>
      </c>
      <c r="AX146" s="3">
        <f t="shared" si="284"/>
        <v>3</v>
      </c>
    </row>
    <row r="147" spans="1:50" ht="13.5" customHeight="1" x14ac:dyDescent="0.2">
      <c r="A147" s="24" t="s">
        <v>91</v>
      </c>
      <c r="B147" s="24">
        <f>Results!$O$26</f>
        <v>-2</v>
      </c>
      <c r="C147" s="25">
        <v>2</v>
      </c>
      <c r="D147" s="24">
        <f t="shared" si="273"/>
        <v>-4</v>
      </c>
      <c r="E147" s="24" t="s">
        <v>73</v>
      </c>
      <c r="F147" s="24">
        <f>Results!$O$31</f>
        <v>-4</v>
      </c>
      <c r="G147" s="25"/>
      <c r="H147" s="24">
        <f t="shared" si="274"/>
        <v>0</v>
      </c>
      <c r="I147" s="24" t="s">
        <v>112</v>
      </c>
      <c r="J147" s="24">
        <f>Results!$O$36</f>
        <v>5</v>
      </c>
      <c r="K147" s="25">
        <v>1</v>
      </c>
      <c r="L147" s="24">
        <f t="shared" si="275"/>
        <v>5</v>
      </c>
      <c r="M147" s="24" t="s">
        <v>84</v>
      </c>
      <c r="N147" s="24">
        <f>Results!$O$41</f>
        <v>4</v>
      </c>
      <c r="O147" s="25">
        <v>2</v>
      </c>
      <c r="P147" s="24">
        <f t="shared" si="276"/>
        <v>8</v>
      </c>
      <c r="R147" s="24" t="s">
        <v>91</v>
      </c>
      <c r="S147" s="24">
        <f>Results!$O$26</f>
        <v>-2</v>
      </c>
      <c r="T147" s="25">
        <v>1</v>
      </c>
      <c r="U147" s="24">
        <f t="shared" si="277"/>
        <v>-2</v>
      </c>
      <c r="V147" s="24" t="s">
        <v>73</v>
      </c>
      <c r="W147" s="24">
        <f>Results!$O$31</f>
        <v>-4</v>
      </c>
      <c r="X147" s="25"/>
      <c r="Y147" s="24">
        <f t="shared" si="278"/>
        <v>0</v>
      </c>
      <c r="Z147" s="24" t="s">
        <v>112</v>
      </c>
      <c r="AA147" s="24">
        <f>Results!$O$36</f>
        <v>5</v>
      </c>
      <c r="AB147" s="25"/>
      <c r="AC147" s="24">
        <f t="shared" si="279"/>
        <v>0</v>
      </c>
      <c r="AD147" s="24" t="s">
        <v>84</v>
      </c>
      <c r="AE147" s="24">
        <f>Results!$O$41</f>
        <v>4</v>
      </c>
      <c r="AF147" s="25">
        <v>2</v>
      </c>
      <c r="AG147" s="24">
        <f t="shared" si="280"/>
        <v>8</v>
      </c>
      <c r="AI147" s="24" t="s">
        <v>91</v>
      </c>
      <c r="AJ147" s="24">
        <f>Results!$O$26</f>
        <v>-2</v>
      </c>
      <c r="AK147" s="25">
        <v>2</v>
      </c>
      <c r="AL147" s="24">
        <f t="shared" si="281"/>
        <v>-4</v>
      </c>
      <c r="AM147" s="24" t="s">
        <v>73</v>
      </c>
      <c r="AN147" s="24">
        <f>Results!$O$31</f>
        <v>-4</v>
      </c>
      <c r="AO147" s="25"/>
      <c r="AP147" s="24">
        <f t="shared" si="282"/>
        <v>0</v>
      </c>
      <c r="AQ147" s="24" t="s">
        <v>112</v>
      </c>
      <c r="AR147" s="24">
        <f>Results!$O$36</f>
        <v>5</v>
      </c>
      <c r="AS147" s="25"/>
      <c r="AT147" s="24">
        <f t="shared" si="283"/>
        <v>0</v>
      </c>
      <c r="AU147" s="24" t="s">
        <v>84</v>
      </c>
      <c r="AV147" s="24">
        <f>Results!$O$41</f>
        <v>4</v>
      </c>
      <c r="AW147" s="25">
        <v>2</v>
      </c>
      <c r="AX147" s="24">
        <f t="shared" si="284"/>
        <v>8</v>
      </c>
    </row>
    <row r="148" spans="1:50" ht="13.5" customHeight="1" x14ac:dyDescent="0.2">
      <c r="A148" s="14" t="s">
        <v>97</v>
      </c>
      <c r="B148" s="15" t="s">
        <v>51</v>
      </c>
      <c r="C148" s="16" t="s">
        <v>21</v>
      </c>
      <c r="D148" s="15" t="s">
        <v>49</v>
      </c>
      <c r="E148" s="15" t="s">
        <v>98</v>
      </c>
      <c r="F148" s="15" t="s">
        <v>51</v>
      </c>
      <c r="G148" s="16" t="s">
        <v>21</v>
      </c>
      <c r="H148" s="15" t="s">
        <v>49</v>
      </c>
      <c r="I148" s="15" t="s">
        <v>99</v>
      </c>
      <c r="J148" s="15" t="s">
        <v>51</v>
      </c>
      <c r="K148" s="16" t="s">
        <v>21</v>
      </c>
      <c r="L148" s="15" t="s">
        <v>49</v>
      </c>
      <c r="M148" s="15" t="s">
        <v>100</v>
      </c>
      <c r="N148" s="15" t="s">
        <v>51</v>
      </c>
      <c r="O148" s="16" t="s">
        <v>21</v>
      </c>
      <c r="P148" s="15" t="s">
        <v>49</v>
      </c>
      <c r="R148" s="14" t="s">
        <v>97</v>
      </c>
      <c r="S148" s="15" t="s">
        <v>51</v>
      </c>
      <c r="T148" s="16" t="s">
        <v>21</v>
      </c>
      <c r="U148" s="15" t="s">
        <v>49</v>
      </c>
      <c r="V148" s="15" t="s">
        <v>98</v>
      </c>
      <c r="W148" s="15" t="s">
        <v>51</v>
      </c>
      <c r="X148" s="16" t="s">
        <v>21</v>
      </c>
      <c r="Y148" s="15" t="s">
        <v>49</v>
      </c>
      <c r="Z148" s="15" t="s">
        <v>99</v>
      </c>
      <c r="AA148" s="15" t="s">
        <v>51</v>
      </c>
      <c r="AB148" s="16" t="s">
        <v>21</v>
      </c>
      <c r="AC148" s="15" t="s">
        <v>49</v>
      </c>
      <c r="AD148" s="15" t="s">
        <v>100</v>
      </c>
      <c r="AE148" s="15" t="s">
        <v>51</v>
      </c>
      <c r="AF148" s="16" t="s">
        <v>21</v>
      </c>
      <c r="AG148" s="15" t="s">
        <v>49</v>
      </c>
      <c r="AI148" s="14" t="s">
        <v>97</v>
      </c>
      <c r="AJ148" s="15" t="s">
        <v>51</v>
      </c>
      <c r="AK148" s="16" t="s">
        <v>21</v>
      </c>
      <c r="AL148" s="15" t="s">
        <v>49</v>
      </c>
      <c r="AM148" s="15" t="s">
        <v>98</v>
      </c>
      <c r="AN148" s="15" t="s">
        <v>51</v>
      </c>
      <c r="AO148" s="16" t="s">
        <v>21</v>
      </c>
      <c r="AP148" s="15" t="s">
        <v>49</v>
      </c>
      <c r="AQ148" s="15" t="s">
        <v>99</v>
      </c>
      <c r="AR148" s="15" t="s">
        <v>51</v>
      </c>
      <c r="AS148" s="16" t="s">
        <v>21</v>
      </c>
      <c r="AT148" s="15" t="s">
        <v>49</v>
      </c>
      <c r="AU148" s="15" t="s">
        <v>100</v>
      </c>
      <c r="AV148" s="15" t="s">
        <v>51</v>
      </c>
      <c r="AW148" s="16" t="s">
        <v>21</v>
      </c>
      <c r="AX148" s="15" t="s">
        <v>49</v>
      </c>
    </row>
    <row r="149" spans="1:50" ht="13.5" customHeight="1" x14ac:dyDescent="0.2">
      <c r="A149" s="3" t="s">
        <v>8</v>
      </c>
      <c r="B149" s="3">
        <f>Results!$O$43</f>
        <v>10</v>
      </c>
      <c r="C149" s="11">
        <v>5</v>
      </c>
      <c r="D149" s="3">
        <f t="shared" ref="D149:D152" si="285">B149*C149</f>
        <v>50</v>
      </c>
      <c r="E149" s="3" t="s">
        <v>69</v>
      </c>
      <c r="F149" s="3">
        <f>Results!$O$48</f>
        <v>11</v>
      </c>
      <c r="G149" s="11">
        <v>3</v>
      </c>
      <c r="H149" s="3">
        <f t="shared" ref="H149:H152" si="286">F149*G149</f>
        <v>33</v>
      </c>
      <c r="I149" s="3" t="s">
        <v>19</v>
      </c>
      <c r="J149" s="3">
        <f>Results!$O$53</f>
        <v>1</v>
      </c>
      <c r="K149" s="11">
        <v>2</v>
      </c>
      <c r="L149" s="3">
        <f t="shared" ref="L149:L152" si="287">J149*K149</f>
        <v>2</v>
      </c>
      <c r="M149" s="3" t="s">
        <v>10</v>
      </c>
      <c r="N149" s="3">
        <f>Results!$O$58</f>
        <v>11</v>
      </c>
      <c r="O149" s="11">
        <v>3</v>
      </c>
      <c r="P149" s="3">
        <f t="shared" ref="P149:P152" si="288">N149*O149</f>
        <v>33</v>
      </c>
      <c r="R149" s="3" t="s">
        <v>8</v>
      </c>
      <c r="S149" s="3">
        <f>Results!$O$43</f>
        <v>10</v>
      </c>
      <c r="T149" s="11">
        <v>3</v>
      </c>
      <c r="U149" s="3">
        <f t="shared" ref="U149:U152" si="289">S149*T149</f>
        <v>30</v>
      </c>
      <c r="V149" s="3" t="s">
        <v>69</v>
      </c>
      <c r="W149" s="3">
        <f>Results!$O$48</f>
        <v>11</v>
      </c>
      <c r="X149" s="11">
        <v>3</v>
      </c>
      <c r="Y149" s="3">
        <f t="shared" ref="Y149:Y152" si="290">W149*X149</f>
        <v>33</v>
      </c>
      <c r="Z149" s="3" t="s">
        <v>19</v>
      </c>
      <c r="AA149" s="3">
        <f>Results!$O$53</f>
        <v>1</v>
      </c>
      <c r="AB149" s="11">
        <v>5</v>
      </c>
      <c r="AC149" s="3">
        <f t="shared" ref="AC149:AC152" si="291">AA149*AB149</f>
        <v>5</v>
      </c>
      <c r="AD149" s="3" t="s">
        <v>10</v>
      </c>
      <c r="AE149" s="3">
        <f>Results!$O$58</f>
        <v>11</v>
      </c>
      <c r="AF149" s="11">
        <v>3</v>
      </c>
      <c r="AG149" s="3">
        <f t="shared" ref="AG149:AG152" si="292">AE149*AF149</f>
        <v>33</v>
      </c>
      <c r="AI149" s="3" t="s">
        <v>8</v>
      </c>
      <c r="AJ149" s="3">
        <f>Results!$O$43</f>
        <v>10</v>
      </c>
      <c r="AK149" s="11">
        <v>5</v>
      </c>
      <c r="AL149" s="3">
        <f t="shared" ref="AL149:AL152" si="293">AJ149*AK149</f>
        <v>50</v>
      </c>
      <c r="AM149" s="3" t="s">
        <v>69</v>
      </c>
      <c r="AN149" s="3">
        <f>Results!$O$48</f>
        <v>11</v>
      </c>
      <c r="AO149" s="11">
        <v>3</v>
      </c>
      <c r="AP149" s="3">
        <f t="shared" ref="AP149:AP152" si="294">AN149*AO149</f>
        <v>33</v>
      </c>
      <c r="AQ149" s="3" t="s">
        <v>19</v>
      </c>
      <c r="AR149" s="3">
        <f>Results!$O$53</f>
        <v>1</v>
      </c>
      <c r="AS149" s="11">
        <v>3</v>
      </c>
      <c r="AT149" s="3">
        <f t="shared" ref="AT149:AT152" si="295">AR149*AS149</f>
        <v>3</v>
      </c>
      <c r="AU149" s="3" t="s">
        <v>10</v>
      </c>
      <c r="AV149" s="3">
        <f>Results!$O$58</f>
        <v>11</v>
      </c>
      <c r="AW149" s="11">
        <v>3</v>
      </c>
      <c r="AX149" s="3">
        <f t="shared" ref="AX149:AX152" si="296">AV149*AW149</f>
        <v>33</v>
      </c>
    </row>
    <row r="150" spans="1:50" ht="13.5" customHeight="1" x14ac:dyDescent="0.2">
      <c r="A150" s="3" t="s">
        <v>66</v>
      </c>
      <c r="B150" s="3">
        <f>Results!$O$44</f>
        <v>-1</v>
      </c>
      <c r="C150" s="11">
        <v>2</v>
      </c>
      <c r="D150" s="3">
        <f t="shared" si="285"/>
        <v>-2</v>
      </c>
      <c r="E150" s="3" t="s">
        <v>116</v>
      </c>
      <c r="F150" s="3">
        <f>Results!$O$49</f>
        <v>-3</v>
      </c>
      <c r="G150" s="11">
        <v>2</v>
      </c>
      <c r="H150" s="3">
        <f t="shared" si="286"/>
        <v>-6</v>
      </c>
      <c r="I150" s="3" t="s">
        <v>119</v>
      </c>
      <c r="J150" s="3">
        <f>Results!$O$54</f>
        <v>3</v>
      </c>
      <c r="K150" s="11">
        <v>1</v>
      </c>
      <c r="L150" s="3">
        <f t="shared" si="287"/>
        <v>3</v>
      </c>
      <c r="M150" s="3" t="s">
        <v>16</v>
      </c>
      <c r="N150" s="3">
        <f>Results!$O$59</f>
        <v>0</v>
      </c>
      <c r="O150" s="11">
        <v>2</v>
      </c>
      <c r="P150" s="3">
        <f t="shared" si="288"/>
        <v>0</v>
      </c>
      <c r="R150" s="3" t="s">
        <v>66</v>
      </c>
      <c r="S150" s="3">
        <f>Results!$O$44</f>
        <v>-1</v>
      </c>
      <c r="T150" s="11">
        <v>2</v>
      </c>
      <c r="U150" s="3">
        <f t="shared" si="289"/>
        <v>-2</v>
      </c>
      <c r="V150" s="3" t="s">
        <v>116</v>
      </c>
      <c r="W150" s="3">
        <f>Results!$O$49</f>
        <v>-3</v>
      </c>
      <c r="X150" s="11">
        <v>1</v>
      </c>
      <c r="Y150" s="3">
        <f t="shared" si="290"/>
        <v>-3</v>
      </c>
      <c r="Z150" s="3" t="s">
        <v>119</v>
      </c>
      <c r="AA150" s="3">
        <f>Results!$O$54</f>
        <v>3</v>
      </c>
      <c r="AB150" s="11">
        <v>2</v>
      </c>
      <c r="AC150" s="3">
        <f t="shared" si="291"/>
        <v>6</v>
      </c>
      <c r="AD150" s="3" t="s">
        <v>16</v>
      </c>
      <c r="AE150" s="3">
        <f>Results!$O$59</f>
        <v>0</v>
      </c>
      <c r="AF150" s="11">
        <v>2</v>
      </c>
      <c r="AG150" s="3">
        <f t="shared" si="292"/>
        <v>0</v>
      </c>
      <c r="AI150" s="3" t="s">
        <v>66</v>
      </c>
      <c r="AJ150" s="3">
        <f>Results!$O$44</f>
        <v>-1</v>
      </c>
      <c r="AK150" s="11">
        <v>2</v>
      </c>
      <c r="AL150" s="3">
        <f t="shared" si="293"/>
        <v>-2</v>
      </c>
      <c r="AM150" s="3" t="s">
        <v>116</v>
      </c>
      <c r="AN150" s="3">
        <f>Results!$O$49</f>
        <v>-3</v>
      </c>
      <c r="AO150" s="11">
        <v>1</v>
      </c>
      <c r="AP150" s="3">
        <f t="shared" si="294"/>
        <v>-3</v>
      </c>
      <c r="AQ150" s="3" t="s">
        <v>119</v>
      </c>
      <c r="AR150" s="3">
        <f>Results!$O$54</f>
        <v>3</v>
      </c>
      <c r="AS150" s="11"/>
      <c r="AT150" s="3">
        <f t="shared" si="295"/>
        <v>0</v>
      </c>
      <c r="AU150" s="3" t="s">
        <v>16</v>
      </c>
      <c r="AV150" s="3">
        <f>Results!$O$59</f>
        <v>0</v>
      </c>
      <c r="AW150" s="11">
        <v>2</v>
      </c>
      <c r="AX150" s="3">
        <f t="shared" si="296"/>
        <v>0</v>
      </c>
    </row>
    <row r="151" spans="1:50" ht="13.5" customHeight="1" x14ac:dyDescent="0.2">
      <c r="A151" s="3" t="s">
        <v>114</v>
      </c>
      <c r="B151" s="3">
        <f>Results!$O$45</f>
        <v>-3</v>
      </c>
      <c r="C151" s="11">
        <v>1</v>
      </c>
      <c r="D151" s="3">
        <f t="shared" si="285"/>
        <v>-3</v>
      </c>
      <c r="E151" s="3" t="s">
        <v>117</v>
      </c>
      <c r="F151" s="3">
        <f>Results!$O$50</f>
        <v>9</v>
      </c>
      <c r="G151" s="11">
        <v>1</v>
      </c>
      <c r="H151" s="3">
        <f t="shared" si="286"/>
        <v>9</v>
      </c>
      <c r="I151" s="3" t="s">
        <v>120</v>
      </c>
      <c r="J151" s="3">
        <f>Results!$O$55</f>
        <v>-2</v>
      </c>
      <c r="K151" s="11"/>
      <c r="L151" s="3">
        <f t="shared" si="287"/>
        <v>0</v>
      </c>
      <c r="M151" s="3" t="s">
        <v>83</v>
      </c>
      <c r="N151" s="3">
        <f>Results!$O$60</f>
        <v>6</v>
      </c>
      <c r="O151" s="11">
        <v>1</v>
      </c>
      <c r="P151" s="3">
        <f t="shared" si="288"/>
        <v>6</v>
      </c>
      <c r="R151" s="3" t="s">
        <v>114</v>
      </c>
      <c r="S151" s="3">
        <f>Results!$O$45</f>
        <v>-3</v>
      </c>
      <c r="T151" s="11"/>
      <c r="U151" s="3">
        <f t="shared" si="289"/>
        <v>0</v>
      </c>
      <c r="V151" s="3" t="s">
        <v>117</v>
      </c>
      <c r="W151" s="3">
        <f>Results!$O$50</f>
        <v>9</v>
      </c>
      <c r="X151" s="11">
        <v>2</v>
      </c>
      <c r="Y151" s="3">
        <f t="shared" si="290"/>
        <v>18</v>
      </c>
      <c r="Z151" s="3" t="s">
        <v>120</v>
      </c>
      <c r="AA151" s="3">
        <f>Results!$O$55</f>
        <v>-2</v>
      </c>
      <c r="AB151" s="11">
        <v>1</v>
      </c>
      <c r="AC151" s="3">
        <f t="shared" si="291"/>
        <v>-2</v>
      </c>
      <c r="AD151" s="3" t="s">
        <v>83</v>
      </c>
      <c r="AE151" s="3">
        <f>Results!$O$60</f>
        <v>6</v>
      </c>
      <c r="AF151" s="11">
        <v>1</v>
      </c>
      <c r="AG151" s="3">
        <f t="shared" si="292"/>
        <v>6</v>
      </c>
      <c r="AI151" s="3" t="s">
        <v>114</v>
      </c>
      <c r="AJ151" s="3">
        <f>Results!$O$45</f>
        <v>-3</v>
      </c>
      <c r="AK151" s="11">
        <v>1</v>
      </c>
      <c r="AL151" s="3">
        <f t="shared" si="293"/>
        <v>-3</v>
      </c>
      <c r="AM151" s="3" t="s">
        <v>117</v>
      </c>
      <c r="AN151" s="3">
        <f>Results!$O$50</f>
        <v>9</v>
      </c>
      <c r="AO151" s="11">
        <v>2</v>
      </c>
      <c r="AP151" s="3">
        <f t="shared" si="294"/>
        <v>18</v>
      </c>
      <c r="AQ151" s="3" t="s">
        <v>120</v>
      </c>
      <c r="AR151" s="3">
        <f>Results!$O$55</f>
        <v>-2</v>
      </c>
      <c r="AS151" s="11">
        <v>1</v>
      </c>
      <c r="AT151" s="3">
        <f t="shared" si="295"/>
        <v>-2</v>
      </c>
      <c r="AU151" s="3" t="s">
        <v>83</v>
      </c>
      <c r="AV151" s="3">
        <f>Results!$O$60</f>
        <v>6</v>
      </c>
      <c r="AW151" s="11">
        <v>1</v>
      </c>
      <c r="AX151" s="3">
        <f t="shared" si="296"/>
        <v>6</v>
      </c>
    </row>
    <row r="152" spans="1:50" ht="13.5" customHeight="1" thickBot="1" x14ac:dyDescent="0.25">
      <c r="A152" s="19" t="s">
        <v>115</v>
      </c>
      <c r="B152" s="19">
        <f>Results!$O$46</f>
        <v>12</v>
      </c>
      <c r="C152" s="20">
        <v>3</v>
      </c>
      <c r="D152" s="19">
        <f t="shared" si="285"/>
        <v>36</v>
      </c>
      <c r="E152" s="19" t="s">
        <v>118</v>
      </c>
      <c r="F152" s="19">
        <f>Results!$O$51</f>
        <v>-1</v>
      </c>
      <c r="G152" s="20"/>
      <c r="H152" s="19">
        <f t="shared" si="286"/>
        <v>0</v>
      </c>
      <c r="I152" s="19" t="s">
        <v>121</v>
      </c>
      <c r="J152" s="19">
        <f>Results!$O$56</f>
        <v>9</v>
      </c>
      <c r="K152" s="20">
        <v>3</v>
      </c>
      <c r="L152" s="19">
        <f t="shared" si="287"/>
        <v>27</v>
      </c>
      <c r="M152" s="19" t="s">
        <v>122</v>
      </c>
      <c r="N152" s="19">
        <f>Results!$O$61</f>
        <v>-3</v>
      </c>
      <c r="O152" s="20"/>
      <c r="P152" s="19">
        <f t="shared" si="288"/>
        <v>0</v>
      </c>
      <c r="R152" s="19" t="s">
        <v>115</v>
      </c>
      <c r="S152" s="19">
        <f>Results!$O$46</f>
        <v>12</v>
      </c>
      <c r="T152" s="20">
        <v>1</v>
      </c>
      <c r="U152" s="19">
        <f t="shared" si="289"/>
        <v>12</v>
      </c>
      <c r="V152" s="19" t="s">
        <v>118</v>
      </c>
      <c r="W152" s="19">
        <f>Results!$O$51</f>
        <v>-1</v>
      </c>
      <c r="X152" s="20"/>
      <c r="Y152" s="19">
        <f t="shared" si="290"/>
        <v>0</v>
      </c>
      <c r="Z152" s="19" t="s">
        <v>121</v>
      </c>
      <c r="AA152" s="19">
        <f>Results!$O$56</f>
        <v>9</v>
      </c>
      <c r="AB152" s="20">
        <v>3</v>
      </c>
      <c r="AC152" s="19">
        <f t="shared" si="291"/>
        <v>27</v>
      </c>
      <c r="AD152" s="19" t="s">
        <v>122</v>
      </c>
      <c r="AE152" s="19">
        <f>Results!$O$61</f>
        <v>-3</v>
      </c>
      <c r="AF152" s="20"/>
      <c r="AG152" s="19">
        <f t="shared" si="292"/>
        <v>0</v>
      </c>
      <c r="AI152" s="19" t="s">
        <v>115</v>
      </c>
      <c r="AJ152" s="19">
        <f>Results!$O$46</f>
        <v>12</v>
      </c>
      <c r="AK152" s="20">
        <v>3</v>
      </c>
      <c r="AL152" s="19">
        <f t="shared" si="293"/>
        <v>36</v>
      </c>
      <c r="AM152" s="19" t="s">
        <v>118</v>
      </c>
      <c r="AN152" s="19">
        <f>Results!$O$51</f>
        <v>-1</v>
      </c>
      <c r="AO152" s="20"/>
      <c r="AP152" s="19">
        <f t="shared" si="294"/>
        <v>0</v>
      </c>
      <c r="AQ152" s="19" t="s">
        <v>121</v>
      </c>
      <c r="AR152" s="19">
        <f>Results!$O$56</f>
        <v>9</v>
      </c>
      <c r="AS152" s="20">
        <v>2</v>
      </c>
      <c r="AT152" s="19">
        <f t="shared" si="295"/>
        <v>18</v>
      </c>
      <c r="AU152" s="19" t="s">
        <v>122</v>
      </c>
      <c r="AV152" s="19">
        <f>Results!$O$61</f>
        <v>-3</v>
      </c>
      <c r="AW152" s="20"/>
      <c r="AX152" s="19">
        <f t="shared" si="296"/>
        <v>0</v>
      </c>
    </row>
    <row r="153" spans="1:50" s="27" customFormat="1" ht="13.5" customHeight="1" thickBot="1" x14ac:dyDescent="0.25">
      <c r="A153" s="28"/>
      <c r="B153" s="28"/>
      <c r="C153" s="29"/>
      <c r="D153" s="28"/>
      <c r="E153" s="28"/>
      <c r="F153" s="28"/>
      <c r="G153" s="29"/>
      <c r="H153" s="28"/>
      <c r="I153" s="28"/>
      <c r="J153" s="28"/>
      <c r="K153" s="29"/>
      <c r="L153" s="28"/>
      <c r="M153" s="28"/>
      <c r="N153" s="28"/>
      <c r="O153" s="29"/>
      <c r="P153" s="30"/>
      <c r="R153" s="28"/>
      <c r="S153" s="28"/>
      <c r="T153" s="29"/>
      <c r="U153" s="28"/>
      <c r="V153" s="28"/>
      <c r="W153" s="28"/>
      <c r="X153" s="29"/>
      <c r="Y153" s="28"/>
      <c r="Z153" s="28"/>
      <c r="AA153" s="28"/>
      <c r="AB153" s="29"/>
      <c r="AC153" s="28"/>
      <c r="AD153" s="28"/>
      <c r="AE153" s="28"/>
      <c r="AF153" s="29"/>
      <c r="AG153" s="30"/>
      <c r="AI153" s="28"/>
      <c r="AJ153" s="28"/>
      <c r="AK153" s="29"/>
      <c r="AL153" s="28"/>
      <c r="AM153" s="28"/>
      <c r="AN153" s="28"/>
      <c r="AO153" s="29"/>
      <c r="AP153" s="28"/>
      <c r="AQ153" s="28"/>
      <c r="AR153" s="28"/>
      <c r="AS153" s="29"/>
      <c r="AT153" s="28"/>
      <c r="AU153" s="28"/>
      <c r="AV153" s="28"/>
      <c r="AW153" s="29"/>
      <c r="AX153" s="30"/>
    </row>
    <row r="154" spans="1:50" ht="13.5" customHeight="1" x14ac:dyDescent="0.2">
      <c r="A154" s="12" t="s">
        <v>0</v>
      </c>
      <c r="B154" s="59" t="s">
        <v>131</v>
      </c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13" t="s">
        <v>50</v>
      </c>
      <c r="N154" s="61">
        <f>SUM(D156:D159,D161:D164,H156:H159, H161:H164,L156:L159,L161:L164,P156:P159,P161:P164,D166:D169,H166:H169,L166:L169,P166:P169)</f>
        <v>377</v>
      </c>
      <c r="O154" s="60"/>
      <c r="P154" s="62"/>
      <c r="R154" s="12" t="s">
        <v>0</v>
      </c>
      <c r="S154" s="59" t="s">
        <v>63</v>
      </c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13" t="s">
        <v>50</v>
      </c>
      <c r="AE154" s="61">
        <f>SUM(U156:U159,U161:U164,Y156:Y159, Y161:Y164,AC156:AC159,AC161:AC164,AG156:AG159,AG161:AG164,U166:U169,Y166:Y169,AC166:AC169,AG166:AG169)</f>
        <v>388</v>
      </c>
      <c r="AF154" s="60"/>
      <c r="AG154" s="62"/>
      <c r="AI154" s="12" t="s">
        <v>0</v>
      </c>
      <c r="AJ154" s="59" t="s">
        <v>151</v>
      </c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13" t="s">
        <v>50</v>
      </c>
      <c r="AV154" s="61">
        <f>SUM(AL156:AL159,AL161:AL164,AP156:AP159, AP161:AP164,AT156:AT159,AT161:AT164,AX156:AX159,AX161:AX164,AL166:AL169,AP166:AP169,AT166:AT169,AX166:AX169)</f>
        <v>341</v>
      </c>
      <c r="AW154" s="60"/>
      <c r="AX154" s="62"/>
    </row>
    <row r="155" spans="1:50" ht="13.5" customHeight="1" x14ac:dyDescent="0.2">
      <c r="A155" s="14" t="s">
        <v>3</v>
      </c>
      <c r="B155" s="15" t="s">
        <v>51</v>
      </c>
      <c r="C155" s="16" t="s">
        <v>21</v>
      </c>
      <c r="D155" s="15" t="s">
        <v>49</v>
      </c>
      <c r="E155" s="15" t="s">
        <v>6</v>
      </c>
      <c r="F155" s="15" t="s">
        <v>51</v>
      </c>
      <c r="G155" s="16" t="s">
        <v>21</v>
      </c>
      <c r="H155" s="15" t="s">
        <v>49</v>
      </c>
      <c r="I155" s="15" t="s">
        <v>7</v>
      </c>
      <c r="J155" s="15" t="s">
        <v>51</v>
      </c>
      <c r="K155" s="16" t="s">
        <v>21</v>
      </c>
      <c r="L155" s="15" t="s">
        <v>49</v>
      </c>
      <c r="M155" s="15" t="s">
        <v>13</v>
      </c>
      <c r="N155" s="15" t="s">
        <v>51</v>
      </c>
      <c r="O155" s="16" t="s">
        <v>21</v>
      </c>
      <c r="P155" s="17" t="s">
        <v>49</v>
      </c>
      <c r="R155" s="14" t="s">
        <v>3</v>
      </c>
      <c r="S155" s="15" t="s">
        <v>51</v>
      </c>
      <c r="T155" s="16" t="s">
        <v>21</v>
      </c>
      <c r="U155" s="15" t="s">
        <v>49</v>
      </c>
      <c r="V155" s="15" t="s">
        <v>6</v>
      </c>
      <c r="W155" s="15" t="s">
        <v>51</v>
      </c>
      <c r="X155" s="16" t="s">
        <v>21</v>
      </c>
      <c r="Y155" s="15" t="s">
        <v>49</v>
      </c>
      <c r="Z155" s="15" t="s">
        <v>7</v>
      </c>
      <c r="AA155" s="15" t="s">
        <v>51</v>
      </c>
      <c r="AB155" s="16" t="s">
        <v>21</v>
      </c>
      <c r="AC155" s="15" t="s">
        <v>49</v>
      </c>
      <c r="AD155" s="15" t="s">
        <v>13</v>
      </c>
      <c r="AE155" s="15" t="s">
        <v>51</v>
      </c>
      <c r="AF155" s="16" t="s">
        <v>21</v>
      </c>
      <c r="AG155" s="17" t="s">
        <v>49</v>
      </c>
      <c r="AI155" s="14" t="s">
        <v>3</v>
      </c>
      <c r="AJ155" s="15" t="s">
        <v>51</v>
      </c>
      <c r="AK155" s="16" t="s">
        <v>21</v>
      </c>
      <c r="AL155" s="15" t="s">
        <v>49</v>
      </c>
      <c r="AM155" s="15" t="s">
        <v>6</v>
      </c>
      <c r="AN155" s="15" t="s">
        <v>51</v>
      </c>
      <c r="AO155" s="16" t="s">
        <v>21</v>
      </c>
      <c r="AP155" s="15" t="s">
        <v>49</v>
      </c>
      <c r="AQ155" s="15" t="s">
        <v>7</v>
      </c>
      <c r="AR155" s="15" t="s">
        <v>51</v>
      </c>
      <c r="AS155" s="16" t="s">
        <v>21</v>
      </c>
      <c r="AT155" s="15" t="s">
        <v>49</v>
      </c>
      <c r="AU155" s="15" t="s">
        <v>13</v>
      </c>
      <c r="AV155" s="15" t="s">
        <v>51</v>
      </c>
      <c r="AW155" s="16" t="s">
        <v>21</v>
      </c>
      <c r="AX155" s="17" t="s">
        <v>49</v>
      </c>
    </row>
    <row r="156" spans="1:50" ht="13.5" customHeight="1" x14ac:dyDescent="0.2">
      <c r="A156" s="3" t="s">
        <v>71</v>
      </c>
      <c r="B156" s="3">
        <f>Results!$O$3</f>
        <v>3</v>
      </c>
      <c r="C156" s="11">
        <v>3</v>
      </c>
      <c r="D156" s="3">
        <f t="shared" ref="D156:D159" si="297">B156*C156</f>
        <v>9</v>
      </c>
      <c r="E156" s="3" t="s">
        <v>76</v>
      </c>
      <c r="F156" s="3">
        <f>Results!$O$8</f>
        <v>2</v>
      </c>
      <c r="G156" s="11">
        <v>2</v>
      </c>
      <c r="H156" s="3">
        <f t="shared" ref="H156:H159" si="298">F156*G156</f>
        <v>4</v>
      </c>
      <c r="I156" s="3" t="s">
        <v>80</v>
      </c>
      <c r="J156" s="3">
        <f>Results!$O$13</f>
        <v>2</v>
      </c>
      <c r="K156" s="11">
        <v>3</v>
      </c>
      <c r="L156" s="3">
        <f t="shared" ref="L156:L159" si="299">J156*K156</f>
        <v>6</v>
      </c>
      <c r="M156" s="3" t="s">
        <v>68</v>
      </c>
      <c r="N156" s="3">
        <f>Results!$O$18</f>
        <v>11</v>
      </c>
      <c r="O156" s="11">
        <v>3</v>
      </c>
      <c r="P156" s="18">
        <f>N156*O156</f>
        <v>33</v>
      </c>
      <c r="R156" s="3" t="s">
        <v>71</v>
      </c>
      <c r="S156" s="3">
        <f>Results!$O$3</f>
        <v>3</v>
      </c>
      <c r="T156" s="11">
        <v>3</v>
      </c>
      <c r="U156" s="3">
        <f t="shared" ref="U156:U159" si="300">S156*T156</f>
        <v>9</v>
      </c>
      <c r="V156" s="3" t="s">
        <v>76</v>
      </c>
      <c r="W156" s="3">
        <f>Results!$O$8</f>
        <v>2</v>
      </c>
      <c r="X156" s="11">
        <v>2</v>
      </c>
      <c r="Y156" s="3">
        <f t="shared" ref="Y156:Y159" si="301">W156*X156</f>
        <v>4</v>
      </c>
      <c r="Z156" s="3" t="s">
        <v>80</v>
      </c>
      <c r="AA156" s="3">
        <f>Results!$O$13</f>
        <v>2</v>
      </c>
      <c r="AB156" s="11">
        <v>3</v>
      </c>
      <c r="AC156" s="3">
        <f t="shared" ref="AC156:AC159" si="302">AA156*AB156</f>
        <v>6</v>
      </c>
      <c r="AD156" s="3" t="s">
        <v>68</v>
      </c>
      <c r="AE156" s="3">
        <f>Results!$O$18</f>
        <v>11</v>
      </c>
      <c r="AF156" s="11">
        <v>3</v>
      </c>
      <c r="AG156" s="18">
        <f>AE156*AF156</f>
        <v>33</v>
      </c>
      <c r="AI156" s="3" t="s">
        <v>71</v>
      </c>
      <c r="AJ156" s="3">
        <f>Results!$O$3</f>
        <v>3</v>
      </c>
      <c r="AK156" s="11">
        <v>3</v>
      </c>
      <c r="AL156" s="3">
        <f t="shared" ref="AL156:AL159" si="303">AJ156*AK156</f>
        <v>9</v>
      </c>
      <c r="AM156" s="3" t="s">
        <v>76</v>
      </c>
      <c r="AN156" s="3">
        <f>Results!$O$8</f>
        <v>2</v>
      </c>
      <c r="AO156" s="11">
        <v>2</v>
      </c>
      <c r="AP156" s="3">
        <f t="shared" ref="AP156:AP159" si="304">AN156*AO156</f>
        <v>4</v>
      </c>
      <c r="AQ156" s="3" t="s">
        <v>80</v>
      </c>
      <c r="AR156" s="3">
        <f>Results!$O$13</f>
        <v>2</v>
      </c>
      <c r="AS156" s="11">
        <v>3</v>
      </c>
      <c r="AT156" s="3">
        <f t="shared" ref="AT156:AT159" si="305">AR156*AS156</f>
        <v>6</v>
      </c>
      <c r="AU156" s="3" t="s">
        <v>68</v>
      </c>
      <c r="AV156" s="3">
        <f>Results!$O$18</f>
        <v>11</v>
      </c>
      <c r="AW156" s="11">
        <v>3</v>
      </c>
      <c r="AX156" s="18">
        <f>AV156*AW156</f>
        <v>33</v>
      </c>
    </row>
    <row r="157" spans="1:50" ht="13.5" customHeight="1" x14ac:dyDescent="0.2">
      <c r="A157" s="3" t="s">
        <v>123</v>
      </c>
      <c r="B157" s="3">
        <f>Results!$O$4</f>
        <v>-14</v>
      </c>
      <c r="C157" s="11"/>
      <c r="D157" s="3">
        <f t="shared" si="297"/>
        <v>0</v>
      </c>
      <c r="E157" s="3" t="s">
        <v>103</v>
      </c>
      <c r="F157" s="3">
        <f>Results!$O$9</f>
        <v>1</v>
      </c>
      <c r="G157" s="11">
        <v>1</v>
      </c>
      <c r="H157" s="3">
        <f t="shared" si="298"/>
        <v>1</v>
      </c>
      <c r="I157" s="3" t="s">
        <v>77</v>
      </c>
      <c r="J157" s="3">
        <f>Results!$O$14</f>
        <v>4</v>
      </c>
      <c r="K157" s="11">
        <v>2</v>
      </c>
      <c r="L157" s="3">
        <f t="shared" si="299"/>
        <v>8</v>
      </c>
      <c r="M157" s="3" t="s">
        <v>106</v>
      </c>
      <c r="N157" s="3">
        <f>Results!$O$19</f>
        <v>-7</v>
      </c>
      <c r="O157" s="11">
        <v>1</v>
      </c>
      <c r="P157" s="18">
        <f>N157*O157</f>
        <v>-7</v>
      </c>
      <c r="R157" s="3" t="s">
        <v>123</v>
      </c>
      <c r="S157" s="3">
        <f>Results!$O$4</f>
        <v>-14</v>
      </c>
      <c r="T157" s="11">
        <v>1</v>
      </c>
      <c r="U157" s="3">
        <f t="shared" si="300"/>
        <v>-14</v>
      </c>
      <c r="V157" s="3" t="s">
        <v>103</v>
      </c>
      <c r="W157" s="3">
        <f>Results!$O$9</f>
        <v>1</v>
      </c>
      <c r="X157" s="11"/>
      <c r="Y157" s="3">
        <f t="shared" si="301"/>
        <v>0</v>
      </c>
      <c r="Z157" s="3" t="s">
        <v>77</v>
      </c>
      <c r="AA157" s="3">
        <f>Results!$O$14</f>
        <v>4</v>
      </c>
      <c r="AB157" s="11">
        <v>1</v>
      </c>
      <c r="AC157" s="3">
        <f t="shared" si="302"/>
        <v>4</v>
      </c>
      <c r="AD157" s="3" t="s">
        <v>106</v>
      </c>
      <c r="AE157" s="3">
        <f>Results!$O$19</f>
        <v>-7</v>
      </c>
      <c r="AF157" s="11">
        <v>1</v>
      </c>
      <c r="AG157" s="18">
        <f>AE157*AF157</f>
        <v>-7</v>
      </c>
      <c r="AI157" s="3" t="s">
        <v>123</v>
      </c>
      <c r="AJ157" s="3">
        <f>Results!$O$4</f>
        <v>-14</v>
      </c>
      <c r="AK157" s="11">
        <v>2</v>
      </c>
      <c r="AL157" s="3">
        <f t="shared" si="303"/>
        <v>-28</v>
      </c>
      <c r="AM157" s="3" t="s">
        <v>103</v>
      </c>
      <c r="AN157" s="3">
        <f>Results!$O$9</f>
        <v>1</v>
      </c>
      <c r="AO157" s="11">
        <v>1</v>
      </c>
      <c r="AP157" s="3">
        <f t="shared" si="304"/>
        <v>1</v>
      </c>
      <c r="AQ157" s="3" t="s">
        <v>77</v>
      </c>
      <c r="AR157" s="3">
        <f>Results!$O$14</f>
        <v>4</v>
      </c>
      <c r="AS157" s="11">
        <v>2</v>
      </c>
      <c r="AT157" s="3">
        <f t="shared" si="305"/>
        <v>8</v>
      </c>
      <c r="AU157" s="3" t="s">
        <v>106</v>
      </c>
      <c r="AV157" s="3">
        <f>Results!$O$19</f>
        <v>-7</v>
      </c>
      <c r="AW157" s="11"/>
      <c r="AX157" s="18">
        <f>AV157*AW157</f>
        <v>0</v>
      </c>
    </row>
    <row r="158" spans="1:50" ht="13.5" customHeight="1" x14ac:dyDescent="0.2">
      <c r="A158" s="3" t="s">
        <v>124</v>
      </c>
      <c r="B158" s="3">
        <f>Results!$O$5</f>
        <v>7</v>
      </c>
      <c r="C158" s="11">
        <v>2</v>
      </c>
      <c r="D158" s="3">
        <f t="shared" si="297"/>
        <v>14</v>
      </c>
      <c r="E158" s="3" t="s">
        <v>65</v>
      </c>
      <c r="F158" s="3">
        <f>Results!$O$10</f>
        <v>2</v>
      </c>
      <c r="G158" s="11"/>
      <c r="H158" s="3">
        <f t="shared" si="298"/>
        <v>0</v>
      </c>
      <c r="I158" s="3" t="s">
        <v>104</v>
      </c>
      <c r="J158" s="3">
        <f>Results!$O$15</f>
        <v>-2</v>
      </c>
      <c r="K158" s="11"/>
      <c r="L158" s="3">
        <f t="shared" si="299"/>
        <v>0</v>
      </c>
      <c r="M158" s="3" t="s">
        <v>72</v>
      </c>
      <c r="N158" s="3">
        <f>Results!$O$20</f>
        <v>9</v>
      </c>
      <c r="O158" s="11"/>
      <c r="P158" s="18">
        <f>N158*O158</f>
        <v>0</v>
      </c>
      <c r="R158" s="3" t="s">
        <v>124</v>
      </c>
      <c r="S158" s="3">
        <f>Results!$O$5</f>
        <v>7</v>
      </c>
      <c r="T158" s="11">
        <v>2</v>
      </c>
      <c r="U158" s="3">
        <f t="shared" si="300"/>
        <v>14</v>
      </c>
      <c r="V158" s="3" t="s">
        <v>65</v>
      </c>
      <c r="W158" s="3">
        <f>Results!$O$10</f>
        <v>2</v>
      </c>
      <c r="X158" s="11">
        <v>1</v>
      </c>
      <c r="Y158" s="3">
        <f t="shared" si="301"/>
        <v>2</v>
      </c>
      <c r="Z158" s="3" t="s">
        <v>104</v>
      </c>
      <c r="AA158" s="3">
        <f>Results!$O$15</f>
        <v>-2</v>
      </c>
      <c r="AB158" s="11"/>
      <c r="AC158" s="3">
        <f t="shared" si="302"/>
        <v>0</v>
      </c>
      <c r="AD158" s="3" t="s">
        <v>72</v>
      </c>
      <c r="AE158" s="3">
        <f>Results!$O$20</f>
        <v>9</v>
      </c>
      <c r="AF158" s="11">
        <v>2</v>
      </c>
      <c r="AG158" s="18">
        <f>AE158*AF158</f>
        <v>18</v>
      </c>
      <c r="AI158" s="3" t="s">
        <v>124</v>
      </c>
      <c r="AJ158" s="3">
        <f>Results!$O$5</f>
        <v>7</v>
      </c>
      <c r="AK158" s="11"/>
      <c r="AL158" s="3">
        <f t="shared" si="303"/>
        <v>0</v>
      </c>
      <c r="AM158" s="3" t="s">
        <v>65</v>
      </c>
      <c r="AN158" s="3">
        <f>Results!$O$10</f>
        <v>2</v>
      </c>
      <c r="AO158" s="11"/>
      <c r="AP158" s="3">
        <f t="shared" si="304"/>
        <v>0</v>
      </c>
      <c r="AQ158" s="3" t="s">
        <v>104</v>
      </c>
      <c r="AR158" s="3">
        <f>Results!$O$15</f>
        <v>-2</v>
      </c>
      <c r="AS158" s="11"/>
      <c r="AT158" s="3">
        <f t="shared" si="305"/>
        <v>0</v>
      </c>
      <c r="AU158" s="3" t="s">
        <v>72</v>
      </c>
      <c r="AV158" s="3">
        <f>Results!$O$20</f>
        <v>9</v>
      </c>
      <c r="AW158" s="11">
        <v>2</v>
      </c>
      <c r="AX158" s="18">
        <f>AV158*AW158</f>
        <v>18</v>
      </c>
    </row>
    <row r="159" spans="1:50" ht="13.5" customHeight="1" x14ac:dyDescent="0.2">
      <c r="A159" s="3" t="s">
        <v>102</v>
      </c>
      <c r="B159" s="3">
        <f>Results!$O$6</f>
        <v>0</v>
      </c>
      <c r="C159" s="11">
        <v>1</v>
      </c>
      <c r="D159" s="3">
        <f t="shared" si="297"/>
        <v>0</v>
      </c>
      <c r="E159" s="3" t="s">
        <v>12</v>
      </c>
      <c r="F159" s="3">
        <f>Results!$O$11</f>
        <v>3</v>
      </c>
      <c r="G159" s="11">
        <v>3</v>
      </c>
      <c r="H159" s="3">
        <f t="shared" si="298"/>
        <v>9</v>
      </c>
      <c r="I159" s="3" t="s">
        <v>105</v>
      </c>
      <c r="J159" s="3">
        <f>Results!$O$16</f>
        <v>4</v>
      </c>
      <c r="K159" s="11">
        <v>1</v>
      </c>
      <c r="L159" s="3">
        <f t="shared" si="299"/>
        <v>4</v>
      </c>
      <c r="M159" s="3" t="s">
        <v>107</v>
      </c>
      <c r="N159" s="3">
        <f>Results!$O$21</f>
        <v>-3</v>
      </c>
      <c r="O159" s="11">
        <v>2</v>
      </c>
      <c r="P159" s="18">
        <f>N159*O159</f>
        <v>-6</v>
      </c>
      <c r="R159" s="3" t="s">
        <v>102</v>
      </c>
      <c r="S159" s="3">
        <f>Results!$O$6</f>
        <v>0</v>
      </c>
      <c r="T159" s="11"/>
      <c r="U159" s="3">
        <f t="shared" si="300"/>
        <v>0</v>
      </c>
      <c r="V159" s="3" t="s">
        <v>12</v>
      </c>
      <c r="W159" s="3">
        <f>Results!$O$11</f>
        <v>3</v>
      </c>
      <c r="X159" s="11">
        <v>3</v>
      </c>
      <c r="Y159" s="3">
        <f t="shared" si="301"/>
        <v>9</v>
      </c>
      <c r="Z159" s="3" t="s">
        <v>105</v>
      </c>
      <c r="AA159" s="3">
        <f>Results!$O$16</f>
        <v>4</v>
      </c>
      <c r="AB159" s="11">
        <v>2</v>
      </c>
      <c r="AC159" s="3">
        <f t="shared" si="302"/>
        <v>8</v>
      </c>
      <c r="AD159" s="3" t="s">
        <v>107</v>
      </c>
      <c r="AE159" s="3">
        <f>Results!$O$21</f>
        <v>-3</v>
      </c>
      <c r="AF159" s="11"/>
      <c r="AG159" s="18">
        <f>AE159*AF159</f>
        <v>0</v>
      </c>
      <c r="AI159" s="3" t="s">
        <v>102</v>
      </c>
      <c r="AJ159" s="3">
        <f>Results!$O$6</f>
        <v>0</v>
      </c>
      <c r="AK159" s="11">
        <v>1</v>
      </c>
      <c r="AL159" s="3">
        <f t="shared" si="303"/>
        <v>0</v>
      </c>
      <c r="AM159" s="3" t="s">
        <v>12</v>
      </c>
      <c r="AN159" s="3">
        <f>Results!$O$11</f>
        <v>3</v>
      </c>
      <c r="AO159" s="11">
        <v>3</v>
      </c>
      <c r="AP159" s="3">
        <f t="shared" si="304"/>
        <v>9</v>
      </c>
      <c r="AQ159" s="3" t="s">
        <v>105</v>
      </c>
      <c r="AR159" s="3">
        <f>Results!$O$16</f>
        <v>4</v>
      </c>
      <c r="AS159" s="11">
        <v>1</v>
      </c>
      <c r="AT159" s="3">
        <f t="shared" si="305"/>
        <v>4</v>
      </c>
      <c r="AU159" s="3" t="s">
        <v>107</v>
      </c>
      <c r="AV159" s="3">
        <f>Results!$O$21</f>
        <v>-3</v>
      </c>
      <c r="AW159" s="11">
        <v>1</v>
      </c>
      <c r="AX159" s="18">
        <f>AV159*AW159</f>
        <v>-3</v>
      </c>
    </row>
    <row r="160" spans="1:50" ht="13.5" customHeight="1" x14ac:dyDescent="0.2">
      <c r="A160" s="14" t="s">
        <v>14</v>
      </c>
      <c r="B160" s="15" t="s">
        <v>51</v>
      </c>
      <c r="C160" s="16" t="s">
        <v>21</v>
      </c>
      <c r="D160" s="15" t="s">
        <v>49</v>
      </c>
      <c r="E160" s="15" t="s">
        <v>15</v>
      </c>
      <c r="F160" s="15" t="s">
        <v>51</v>
      </c>
      <c r="G160" s="16" t="s">
        <v>21</v>
      </c>
      <c r="H160" s="15" t="s">
        <v>49</v>
      </c>
      <c r="I160" s="15" t="s">
        <v>78</v>
      </c>
      <c r="J160" s="15" t="s">
        <v>51</v>
      </c>
      <c r="K160" s="16" t="s">
        <v>21</v>
      </c>
      <c r="L160" s="15" t="s">
        <v>49</v>
      </c>
      <c r="M160" s="15" t="s">
        <v>79</v>
      </c>
      <c r="N160" s="15" t="s">
        <v>51</v>
      </c>
      <c r="O160" s="16" t="s">
        <v>21</v>
      </c>
      <c r="P160" s="15" t="s">
        <v>49</v>
      </c>
      <c r="R160" s="14" t="s">
        <v>14</v>
      </c>
      <c r="S160" s="15" t="s">
        <v>51</v>
      </c>
      <c r="T160" s="16" t="s">
        <v>21</v>
      </c>
      <c r="U160" s="15" t="s">
        <v>49</v>
      </c>
      <c r="V160" s="15" t="s">
        <v>15</v>
      </c>
      <c r="W160" s="15" t="s">
        <v>51</v>
      </c>
      <c r="X160" s="16" t="s">
        <v>21</v>
      </c>
      <c r="Y160" s="15" t="s">
        <v>49</v>
      </c>
      <c r="Z160" s="15" t="s">
        <v>78</v>
      </c>
      <c r="AA160" s="15" t="s">
        <v>51</v>
      </c>
      <c r="AB160" s="16" t="s">
        <v>21</v>
      </c>
      <c r="AC160" s="15" t="s">
        <v>49</v>
      </c>
      <c r="AD160" s="15" t="s">
        <v>79</v>
      </c>
      <c r="AE160" s="15" t="s">
        <v>51</v>
      </c>
      <c r="AF160" s="16" t="s">
        <v>21</v>
      </c>
      <c r="AG160" s="15" t="s">
        <v>49</v>
      </c>
      <c r="AI160" s="14" t="s">
        <v>14</v>
      </c>
      <c r="AJ160" s="15" t="s">
        <v>51</v>
      </c>
      <c r="AK160" s="16" t="s">
        <v>21</v>
      </c>
      <c r="AL160" s="15" t="s">
        <v>49</v>
      </c>
      <c r="AM160" s="15" t="s">
        <v>15</v>
      </c>
      <c r="AN160" s="15" t="s">
        <v>51</v>
      </c>
      <c r="AO160" s="16" t="s">
        <v>21</v>
      </c>
      <c r="AP160" s="15" t="s">
        <v>49</v>
      </c>
      <c r="AQ160" s="15" t="s">
        <v>78</v>
      </c>
      <c r="AR160" s="15" t="s">
        <v>51</v>
      </c>
      <c r="AS160" s="16" t="s">
        <v>21</v>
      </c>
      <c r="AT160" s="15" t="s">
        <v>49</v>
      </c>
      <c r="AU160" s="15" t="s">
        <v>79</v>
      </c>
      <c r="AV160" s="15" t="s">
        <v>51</v>
      </c>
      <c r="AW160" s="16" t="s">
        <v>21</v>
      </c>
      <c r="AX160" s="15" t="s">
        <v>49</v>
      </c>
    </row>
    <row r="161" spans="1:50" ht="13.5" customHeight="1" x14ac:dyDescent="0.2">
      <c r="A161" s="3" t="s">
        <v>11</v>
      </c>
      <c r="B161" s="3">
        <f>Results!$O$23</f>
        <v>18</v>
      </c>
      <c r="C161" s="11">
        <v>3</v>
      </c>
      <c r="D161" s="3">
        <f t="shared" ref="D161:D164" si="306">B161*C161</f>
        <v>54</v>
      </c>
      <c r="E161" s="3" t="s">
        <v>57</v>
      </c>
      <c r="F161" s="3">
        <f>Results!$O$28</f>
        <v>2</v>
      </c>
      <c r="G161" s="11">
        <v>3</v>
      </c>
      <c r="H161" s="3">
        <f t="shared" ref="H161:H164" si="307">F161*G161</f>
        <v>6</v>
      </c>
      <c r="I161" s="3" t="s">
        <v>18</v>
      </c>
      <c r="J161" s="3">
        <f>Results!$O$33</f>
        <v>2</v>
      </c>
      <c r="K161" s="11">
        <v>3</v>
      </c>
      <c r="L161" s="3">
        <f t="shared" ref="L161:L164" si="308">J161*K161</f>
        <v>6</v>
      </c>
      <c r="M161" s="3" t="s">
        <v>17</v>
      </c>
      <c r="N161" s="3">
        <f>Results!$O$38</f>
        <v>2</v>
      </c>
      <c r="O161" s="11">
        <v>3</v>
      </c>
      <c r="P161" s="3">
        <f t="shared" ref="P161:P164" si="309">N161*O161</f>
        <v>6</v>
      </c>
      <c r="R161" s="3" t="s">
        <v>11</v>
      </c>
      <c r="S161" s="3">
        <f>Results!$O$23</f>
        <v>18</v>
      </c>
      <c r="T161" s="11">
        <v>3</v>
      </c>
      <c r="U161" s="3">
        <f t="shared" ref="U161:U164" si="310">S161*T161</f>
        <v>54</v>
      </c>
      <c r="V161" s="3" t="s">
        <v>57</v>
      </c>
      <c r="W161" s="3">
        <f>Results!$O$28</f>
        <v>2</v>
      </c>
      <c r="X161" s="11">
        <v>3</v>
      </c>
      <c r="Y161" s="3">
        <f t="shared" ref="Y161:Y164" si="311">W161*X161</f>
        <v>6</v>
      </c>
      <c r="Z161" s="3" t="s">
        <v>18</v>
      </c>
      <c r="AA161" s="3">
        <f>Results!$O$33</f>
        <v>2</v>
      </c>
      <c r="AB161" s="11">
        <v>3</v>
      </c>
      <c r="AC161" s="3">
        <f t="shared" ref="AC161:AC164" si="312">AA161*AB161</f>
        <v>6</v>
      </c>
      <c r="AD161" s="3" t="s">
        <v>17</v>
      </c>
      <c r="AE161" s="3">
        <f>Results!$O$38</f>
        <v>2</v>
      </c>
      <c r="AF161" s="11">
        <v>5</v>
      </c>
      <c r="AG161" s="3">
        <f t="shared" ref="AG161:AG164" si="313">AE161*AF161</f>
        <v>10</v>
      </c>
      <c r="AI161" s="3" t="s">
        <v>11</v>
      </c>
      <c r="AJ161" s="3">
        <f>Results!$O$23</f>
        <v>18</v>
      </c>
      <c r="AK161" s="11">
        <v>3</v>
      </c>
      <c r="AL161" s="3">
        <f t="shared" ref="AL161:AL164" si="314">AJ161*AK161</f>
        <v>54</v>
      </c>
      <c r="AM161" s="3" t="s">
        <v>57</v>
      </c>
      <c r="AN161" s="3">
        <f>Results!$O$28</f>
        <v>2</v>
      </c>
      <c r="AO161" s="11">
        <v>3</v>
      </c>
      <c r="AP161" s="3">
        <f t="shared" ref="AP161:AP164" si="315">AN161*AO161</f>
        <v>6</v>
      </c>
      <c r="AQ161" s="3" t="s">
        <v>18</v>
      </c>
      <c r="AR161" s="3">
        <f>Results!$O$33</f>
        <v>2</v>
      </c>
      <c r="AS161" s="11">
        <v>3</v>
      </c>
      <c r="AT161" s="3">
        <f t="shared" ref="AT161:AT164" si="316">AR161*AS161</f>
        <v>6</v>
      </c>
      <c r="AU161" s="3" t="s">
        <v>17</v>
      </c>
      <c r="AV161" s="3">
        <f>Results!$O$38</f>
        <v>2</v>
      </c>
      <c r="AW161" s="11">
        <v>3</v>
      </c>
      <c r="AX161" s="3">
        <f t="shared" ref="AX161:AX164" si="317">AV161*AW161</f>
        <v>6</v>
      </c>
    </row>
    <row r="162" spans="1:50" ht="13.5" customHeight="1" x14ac:dyDescent="0.2">
      <c r="A162" s="3" t="s">
        <v>108</v>
      </c>
      <c r="B162" s="3">
        <f>Results!$O$24</f>
        <v>-5</v>
      </c>
      <c r="C162" s="11"/>
      <c r="D162" s="3">
        <f t="shared" si="306"/>
        <v>0</v>
      </c>
      <c r="E162" s="3" t="s">
        <v>75</v>
      </c>
      <c r="F162" s="3">
        <f>Results!$O$29</f>
        <v>5</v>
      </c>
      <c r="G162" s="11">
        <v>2</v>
      </c>
      <c r="H162" s="3">
        <f t="shared" si="307"/>
        <v>10</v>
      </c>
      <c r="I162" s="3" t="s">
        <v>111</v>
      </c>
      <c r="J162" s="3">
        <f>Results!$O$34</f>
        <v>2</v>
      </c>
      <c r="K162" s="11">
        <v>2</v>
      </c>
      <c r="L162" s="3">
        <f t="shared" si="308"/>
        <v>4</v>
      </c>
      <c r="M162" s="3" t="s">
        <v>113</v>
      </c>
      <c r="N162" s="3">
        <f>Results!$O$39</f>
        <v>2</v>
      </c>
      <c r="O162" s="11"/>
      <c r="P162" s="3">
        <f t="shared" si="309"/>
        <v>0</v>
      </c>
      <c r="R162" s="3" t="s">
        <v>108</v>
      </c>
      <c r="S162" s="3">
        <f>Results!$O$24</f>
        <v>-5</v>
      </c>
      <c r="T162" s="11"/>
      <c r="U162" s="3">
        <f t="shared" si="310"/>
        <v>0</v>
      </c>
      <c r="V162" s="3" t="s">
        <v>75</v>
      </c>
      <c r="W162" s="3">
        <f>Results!$O$29</f>
        <v>5</v>
      </c>
      <c r="X162" s="11">
        <v>1</v>
      </c>
      <c r="Y162" s="3">
        <f t="shared" si="311"/>
        <v>5</v>
      </c>
      <c r="Z162" s="3" t="s">
        <v>111</v>
      </c>
      <c r="AA162" s="3">
        <f>Results!$O$34</f>
        <v>2</v>
      </c>
      <c r="AB162" s="11">
        <v>2</v>
      </c>
      <c r="AC162" s="3">
        <f t="shared" si="312"/>
        <v>4</v>
      </c>
      <c r="AD162" s="3" t="s">
        <v>113</v>
      </c>
      <c r="AE162" s="3">
        <f>Results!$O$39</f>
        <v>2</v>
      </c>
      <c r="AF162" s="11">
        <v>1</v>
      </c>
      <c r="AG162" s="3">
        <f t="shared" si="313"/>
        <v>2</v>
      </c>
      <c r="AI162" s="3" t="s">
        <v>108</v>
      </c>
      <c r="AJ162" s="3">
        <f>Results!$O$24</f>
        <v>-5</v>
      </c>
      <c r="AK162" s="11"/>
      <c r="AL162" s="3">
        <f t="shared" si="314"/>
        <v>0</v>
      </c>
      <c r="AM162" s="3" t="s">
        <v>75</v>
      </c>
      <c r="AN162" s="3">
        <f>Results!$O$29</f>
        <v>5</v>
      </c>
      <c r="AO162" s="11">
        <v>2</v>
      </c>
      <c r="AP162" s="3">
        <f t="shared" si="315"/>
        <v>10</v>
      </c>
      <c r="AQ162" s="3" t="s">
        <v>111</v>
      </c>
      <c r="AR162" s="3">
        <f>Results!$O$34</f>
        <v>2</v>
      </c>
      <c r="AS162" s="11">
        <v>2</v>
      </c>
      <c r="AT162" s="3">
        <f t="shared" si="316"/>
        <v>4</v>
      </c>
      <c r="AU162" s="3" t="s">
        <v>113</v>
      </c>
      <c r="AV162" s="3">
        <f>Results!$O$39</f>
        <v>2</v>
      </c>
      <c r="AW162" s="11"/>
      <c r="AX162" s="3">
        <f t="shared" si="317"/>
        <v>0</v>
      </c>
    </row>
    <row r="163" spans="1:50" ht="13.5" customHeight="1" x14ac:dyDescent="0.2">
      <c r="A163" s="3" t="s">
        <v>109</v>
      </c>
      <c r="B163" s="3">
        <f>Results!$O$25</f>
        <v>4</v>
      </c>
      <c r="C163" s="11">
        <v>1</v>
      </c>
      <c r="D163" s="3">
        <f t="shared" si="306"/>
        <v>4</v>
      </c>
      <c r="E163" s="3" t="s">
        <v>110</v>
      </c>
      <c r="F163" s="3">
        <f>Results!$O$30</f>
        <v>14</v>
      </c>
      <c r="G163" s="11">
        <v>1</v>
      </c>
      <c r="H163" s="3">
        <f t="shared" si="307"/>
        <v>14</v>
      </c>
      <c r="I163" s="3" t="s">
        <v>67</v>
      </c>
      <c r="J163" s="3">
        <f>Results!$O$35</f>
        <v>4</v>
      </c>
      <c r="K163" s="11">
        <v>1</v>
      </c>
      <c r="L163" s="3">
        <f t="shared" si="308"/>
        <v>4</v>
      </c>
      <c r="M163" s="3" t="s">
        <v>70</v>
      </c>
      <c r="N163" s="3">
        <f>Results!$O$40</f>
        <v>3</v>
      </c>
      <c r="O163" s="11">
        <v>1</v>
      </c>
      <c r="P163" s="3">
        <f t="shared" si="309"/>
        <v>3</v>
      </c>
      <c r="R163" s="3" t="s">
        <v>109</v>
      </c>
      <c r="S163" s="3">
        <f>Results!$O$25</f>
        <v>4</v>
      </c>
      <c r="T163" s="11">
        <v>1</v>
      </c>
      <c r="U163" s="3">
        <f t="shared" si="310"/>
        <v>4</v>
      </c>
      <c r="V163" s="3" t="s">
        <v>110</v>
      </c>
      <c r="W163" s="3">
        <f>Results!$O$30</f>
        <v>14</v>
      </c>
      <c r="X163" s="11">
        <v>2</v>
      </c>
      <c r="Y163" s="3">
        <f t="shared" si="311"/>
        <v>28</v>
      </c>
      <c r="Z163" s="3" t="s">
        <v>67</v>
      </c>
      <c r="AA163" s="3">
        <f>Results!$O$35</f>
        <v>4</v>
      </c>
      <c r="AB163" s="11"/>
      <c r="AC163" s="3">
        <f t="shared" si="312"/>
        <v>0</v>
      </c>
      <c r="AD163" s="3" t="s">
        <v>70</v>
      </c>
      <c r="AE163" s="3">
        <f>Results!$O$40</f>
        <v>3</v>
      </c>
      <c r="AF163" s="11">
        <v>2</v>
      </c>
      <c r="AG163" s="3">
        <f t="shared" si="313"/>
        <v>6</v>
      </c>
      <c r="AI163" s="3" t="s">
        <v>109</v>
      </c>
      <c r="AJ163" s="3">
        <f>Results!$O$25</f>
        <v>4</v>
      </c>
      <c r="AK163" s="11">
        <v>1</v>
      </c>
      <c r="AL163" s="3">
        <f t="shared" si="314"/>
        <v>4</v>
      </c>
      <c r="AM163" s="3" t="s">
        <v>110</v>
      </c>
      <c r="AN163" s="3">
        <f>Results!$O$30</f>
        <v>14</v>
      </c>
      <c r="AO163" s="11"/>
      <c r="AP163" s="3">
        <f t="shared" si="315"/>
        <v>0</v>
      </c>
      <c r="AQ163" s="3" t="s">
        <v>67</v>
      </c>
      <c r="AR163" s="3">
        <f>Results!$O$35</f>
        <v>4</v>
      </c>
      <c r="AS163" s="11"/>
      <c r="AT163" s="3">
        <f t="shared" si="316"/>
        <v>0</v>
      </c>
      <c r="AU163" s="3" t="s">
        <v>70</v>
      </c>
      <c r="AV163" s="3">
        <f>Results!$O$40</f>
        <v>3</v>
      </c>
      <c r="AW163" s="11">
        <v>1</v>
      </c>
      <c r="AX163" s="3">
        <f t="shared" si="317"/>
        <v>3</v>
      </c>
    </row>
    <row r="164" spans="1:50" ht="13.5" customHeight="1" x14ac:dyDescent="0.2">
      <c r="A164" s="24" t="s">
        <v>91</v>
      </c>
      <c r="B164" s="24">
        <f>Results!$O$26</f>
        <v>-2</v>
      </c>
      <c r="C164" s="25">
        <v>2</v>
      </c>
      <c r="D164" s="24">
        <f t="shared" si="306"/>
        <v>-4</v>
      </c>
      <c r="E164" s="24" t="s">
        <v>73</v>
      </c>
      <c r="F164" s="24">
        <f>Results!$O$31</f>
        <v>-4</v>
      </c>
      <c r="G164" s="25"/>
      <c r="H164" s="24">
        <f t="shared" si="307"/>
        <v>0</v>
      </c>
      <c r="I164" s="24" t="s">
        <v>112</v>
      </c>
      <c r="J164" s="24">
        <f>Results!$O$36</f>
        <v>5</v>
      </c>
      <c r="K164" s="25"/>
      <c r="L164" s="24">
        <f t="shared" si="308"/>
        <v>0</v>
      </c>
      <c r="M164" s="24" t="s">
        <v>84</v>
      </c>
      <c r="N164" s="24">
        <f>Results!$O$41</f>
        <v>4</v>
      </c>
      <c r="O164" s="25">
        <v>2</v>
      </c>
      <c r="P164" s="24">
        <f t="shared" si="309"/>
        <v>8</v>
      </c>
      <c r="R164" s="24" t="s">
        <v>91</v>
      </c>
      <c r="S164" s="24">
        <f>Results!$O$26</f>
        <v>-2</v>
      </c>
      <c r="T164" s="25">
        <v>2</v>
      </c>
      <c r="U164" s="24">
        <f t="shared" si="310"/>
        <v>-4</v>
      </c>
      <c r="V164" s="24" t="s">
        <v>73</v>
      </c>
      <c r="W164" s="24">
        <f>Results!$O$31</f>
        <v>-4</v>
      </c>
      <c r="X164" s="25"/>
      <c r="Y164" s="24">
        <f t="shared" si="311"/>
        <v>0</v>
      </c>
      <c r="Z164" s="24" t="s">
        <v>112</v>
      </c>
      <c r="AA164" s="24">
        <f>Results!$O$36</f>
        <v>5</v>
      </c>
      <c r="AB164" s="25">
        <v>1</v>
      </c>
      <c r="AC164" s="24">
        <f t="shared" si="312"/>
        <v>5</v>
      </c>
      <c r="AD164" s="24" t="s">
        <v>84</v>
      </c>
      <c r="AE164" s="24">
        <f>Results!$O$41</f>
        <v>4</v>
      </c>
      <c r="AF164" s="25">
        <v>3</v>
      </c>
      <c r="AG164" s="24">
        <f t="shared" si="313"/>
        <v>12</v>
      </c>
      <c r="AI164" s="24" t="s">
        <v>91</v>
      </c>
      <c r="AJ164" s="24">
        <f>Results!$O$26</f>
        <v>-2</v>
      </c>
      <c r="AK164" s="25">
        <v>2</v>
      </c>
      <c r="AL164" s="24">
        <f t="shared" si="314"/>
        <v>-4</v>
      </c>
      <c r="AM164" s="24" t="s">
        <v>73</v>
      </c>
      <c r="AN164" s="24">
        <f>Results!$O$31</f>
        <v>-4</v>
      </c>
      <c r="AO164" s="25">
        <v>1</v>
      </c>
      <c r="AP164" s="24">
        <f t="shared" si="315"/>
        <v>-4</v>
      </c>
      <c r="AQ164" s="24" t="s">
        <v>112</v>
      </c>
      <c r="AR164" s="24">
        <f>Results!$O$36</f>
        <v>5</v>
      </c>
      <c r="AS164" s="25">
        <v>1</v>
      </c>
      <c r="AT164" s="24">
        <f t="shared" si="316"/>
        <v>5</v>
      </c>
      <c r="AU164" s="24" t="s">
        <v>84</v>
      </c>
      <c r="AV164" s="24">
        <f>Results!$O$41</f>
        <v>4</v>
      </c>
      <c r="AW164" s="25">
        <v>2</v>
      </c>
      <c r="AX164" s="24">
        <f t="shared" si="317"/>
        <v>8</v>
      </c>
    </row>
    <row r="165" spans="1:50" ht="13.5" customHeight="1" x14ac:dyDescent="0.2">
      <c r="A165" s="14" t="s">
        <v>97</v>
      </c>
      <c r="B165" s="15" t="s">
        <v>51</v>
      </c>
      <c r="C165" s="16" t="s">
        <v>21</v>
      </c>
      <c r="D165" s="15" t="s">
        <v>49</v>
      </c>
      <c r="E165" s="15" t="s">
        <v>98</v>
      </c>
      <c r="F165" s="15" t="s">
        <v>51</v>
      </c>
      <c r="G165" s="16" t="s">
        <v>21</v>
      </c>
      <c r="H165" s="15" t="s">
        <v>49</v>
      </c>
      <c r="I165" s="15" t="s">
        <v>99</v>
      </c>
      <c r="J165" s="15" t="s">
        <v>51</v>
      </c>
      <c r="K165" s="16" t="s">
        <v>21</v>
      </c>
      <c r="L165" s="15" t="s">
        <v>49</v>
      </c>
      <c r="M165" s="15" t="s">
        <v>100</v>
      </c>
      <c r="N165" s="15" t="s">
        <v>51</v>
      </c>
      <c r="O165" s="16" t="s">
        <v>21</v>
      </c>
      <c r="P165" s="15" t="s">
        <v>49</v>
      </c>
      <c r="R165" s="14" t="s">
        <v>97</v>
      </c>
      <c r="S165" s="15" t="s">
        <v>51</v>
      </c>
      <c r="T165" s="16" t="s">
        <v>21</v>
      </c>
      <c r="U165" s="15" t="s">
        <v>49</v>
      </c>
      <c r="V165" s="15" t="s">
        <v>98</v>
      </c>
      <c r="W165" s="15" t="s">
        <v>51</v>
      </c>
      <c r="X165" s="16" t="s">
        <v>21</v>
      </c>
      <c r="Y165" s="15" t="s">
        <v>49</v>
      </c>
      <c r="Z165" s="15" t="s">
        <v>99</v>
      </c>
      <c r="AA165" s="15" t="s">
        <v>51</v>
      </c>
      <c r="AB165" s="16" t="s">
        <v>21</v>
      </c>
      <c r="AC165" s="15" t="s">
        <v>49</v>
      </c>
      <c r="AD165" s="15" t="s">
        <v>100</v>
      </c>
      <c r="AE165" s="15" t="s">
        <v>51</v>
      </c>
      <c r="AF165" s="16" t="s">
        <v>21</v>
      </c>
      <c r="AG165" s="15" t="s">
        <v>49</v>
      </c>
      <c r="AI165" s="14" t="s">
        <v>97</v>
      </c>
      <c r="AJ165" s="15" t="s">
        <v>51</v>
      </c>
      <c r="AK165" s="16" t="s">
        <v>21</v>
      </c>
      <c r="AL165" s="15" t="s">
        <v>49</v>
      </c>
      <c r="AM165" s="15" t="s">
        <v>98</v>
      </c>
      <c r="AN165" s="15" t="s">
        <v>51</v>
      </c>
      <c r="AO165" s="16" t="s">
        <v>21</v>
      </c>
      <c r="AP165" s="15" t="s">
        <v>49</v>
      </c>
      <c r="AQ165" s="15" t="s">
        <v>99</v>
      </c>
      <c r="AR165" s="15" t="s">
        <v>51</v>
      </c>
      <c r="AS165" s="16" t="s">
        <v>21</v>
      </c>
      <c r="AT165" s="15" t="s">
        <v>49</v>
      </c>
      <c r="AU165" s="15" t="s">
        <v>100</v>
      </c>
      <c r="AV165" s="15" t="s">
        <v>51</v>
      </c>
      <c r="AW165" s="16" t="s">
        <v>21</v>
      </c>
      <c r="AX165" s="15" t="s">
        <v>49</v>
      </c>
    </row>
    <row r="166" spans="1:50" ht="13.5" customHeight="1" x14ac:dyDescent="0.2">
      <c r="A166" s="3" t="s">
        <v>8</v>
      </c>
      <c r="B166" s="3">
        <f>Results!$O$43</f>
        <v>10</v>
      </c>
      <c r="C166" s="11">
        <v>5</v>
      </c>
      <c r="D166" s="3">
        <f t="shared" ref="D166:D169" si="318">B166*C166</f>
        <v>50</v>
      </c>
      <c r="E166" s="3" t="s">
        <v>69</v>
      </c>
      <c r="F166" s="3">
        <f>Results!$O$48</f>
        <v>11</v>
      </c>
      <c r="G166" s="11">
        <v>3</v>
      </c>
      <c r="H166" s="3">
        <f t="shared" ref="H166:H169" si="319">F166*G166</f>
        <v>33</v>
      </c>
      <c r="I166" s="3" t="s">
        <v>19</v>
      </c>
      <c r="J166" s="3">
        <f>Results!$O$53</f>
        <v>1</v>
      </c>
      <c r="K166" s="11">
        <v>3</v>
      </c>
      <c r="L166" s="3">
        <f t="shared" ref="L166:L169" si="320">J166*K166</f>
        <v>3</v>
      </c>
      <c r="M166" s="3" t="s">
        <v>10</v>
      </c>
      <c r="N166" s="3">
        <f>Results!$O$58</f>
        <v>11</v>
      </c>
      <c r="O166" s="11">
        <v>3</v>
      </c>
      <c r="P166" s="3">
        <f t="shared" ref="P166:P169" si="321">N166*O166</f>
        <v>33</v>
      </c>
      <c r="R166" s="3" t="s">
        <v>8</v>
      </c>
      <c r="S166" s="3">
        <f>Results!$O$43</f>
        <v>10</v>
      </c>
      <c r="T166" s="11">
        <v>3</v>
      </c>
      <c r="U166" s="3">
        <f t="shared" ref="U166:U169" si="322">S166*T166</f>
        <v>30</v>
      </c>
      <c r="V166" s="3" t="s">
        <v>69</v>
      </c>
      <c r="W166" s="3">
        <f>Results!$O$48</f>
        <v>11</v>
      </c>
      <c r="X166" s="11">
        <v>3</v>
      </c>
      <c r="Y166" s="3">
        <f t="shared" ref="Y166:Y169" si="323">W166*X166</f>
        <v>33</v>
      </c>
      <c r="Z166" s="3" t="s">
        <v>19</v>
      </c>
      <c r="AA166" s="3">
        <f>Results!$O$53</f>
        <v>1</v>
      </c>
      <c r="AB166" s="11">
        <v>3</v>
      </c>
      <c r="AC166" s="3">
        <f t="shared" ref="AC166:AC169" si="324">AA166*AB166</f>
        <v>3</v>
      </c>
      <c r="AD166" s="3" t="s">
        <v>10</v>
      </c>
      <c r="AE166" s="3">
        <f>Results!$O$58</f>
        <v>11</v>
      </c>
      <c r="AF166" s="11">
        <v>3</v>
      </c>
      <c r="AG166" s="3">
        <f t="shared" ref="AG166:AG169" si="325">AE166*AF166</f>
        <v>33</v>
      </c>
      <c r="AI166" s="3" t="s">
        <v>8</v>
      </c>
      <c r="AJ166" s="3">
        <f>Results!$O$43</f>
        <v>10</v>
      </c>
      <c r="AK166" s="11">
        <v>3</v>
      </c>
      <c r="AL166" s="3">
        <f t="shared" ref="AL166:AL169" si="326">AJ166*AK166</f>
        <v>30</v>
      </c>
      <c r="AM166" s="3" t="s">
        <v>69</v>
      </c>
      <c r="AN166" s="3">
        <f>Results!$O$48</f>
        <v>11</v>
      </c>
      <c r="AO166" s="11">
        <v>3</v>
      </c>
      <c r="AP166" s="3">
        <f t="shared" ref="AP166:AP169" si="327">AN166*AO166</f>
        <v>33</v>
      </c>
      <c r="AQ166" s="3" t="s">
        <v>19</v>
      </c>
      <c r="AR166" s="3">
        <f>Results!$O$53</f>
        <v>1</v>
      </c>
      <c r="AS166" s="11">
        <v>3</v>
      </c>
      <c r="AT166" s="3">
        <f t="shared" ref="AT166:AT169" si="328">AR166*AS166</f>
        <v>3</v>
      </c>
      <c r="AU166" s="3" t="s">
        <v>10</v>
      </c>
      <c r="AV166" s="3">
        <f>Results!$O$58</f>
        <v>11</v>
      </c>
      <c r="AW166" s="11">
        <v>5</v>
      </c>
      <c r="AX166" s="3">
        <f t="shared" ref="AX166:AX169" si="329">AV166*AW166</f>
        <v>55</v>
      </c>
    </row>
    <row r="167" spans="1:50" ht="13.5" customHeight="1" x14ac:dyDescent="0.2">
      <c r="A167" s="3" t="s">
        <v>66</v>
      </c>
      <c r="B167" s="3">
        <f>Results!$O$44</f>
        <v>-1</v>
      </c>
      <c r="C167" s="11">
        <v>2</v>
      </c>
      <c r="D167" s="3">
        <f t="shared" si="318"/>
        <v>-2</v>
      </c>
      <c r="E167" s="3" t="s">
        <v>116</v>
      </c>
      <c r="F167" s="3">
        <f>Results!$O$49</f>
        <v>-3</v>
      </c>
      <c r="G167" s="11">
        <v>1</v>
      </c>
      <c r="H167" s="3">
        <f t="shared" si="319"/>
        <v>-3</v>
      </c>
      <c r="I167" s="3" t="s">
        <v>119</v>
      </c>
      <c r="J167" s="3">
        <f>Results!$O$54</f>
        <v>3</v>
      </c>
      <c r="K167" s="11"/>
      <c r="L167" s="3">
        <f t="shared" si="320"/>
        <v>0</v>
      </c>
      <c r="M167" s="3" t="s">
        <v>16</v>
      </c>
      <c r="N167" s="3">
        <f>Results!$O$59</f>
        <v>0</v>
      </c>
      <c r="O167" s="11">
        <v>2</v>
      </c>
      <c r="P167" s="3">
        <f t="shared" si="321"/>
        <v>0</v>
      </c>
      <c r="R167" s="3" t="s">
        <v>66</v>
      </c>
      <c r="S167" s="3">
        <f>Results!$O$44</f>
        <v>-1</v>
      </c>
      <c r="T167" s="11">
        <v>1</v>
      </c>
      <c r="U167" s="3">
        <f t="shared" si="322"/>
        <v>-1</v>
      </c>
      <c r="V167" s="3" t="s">
        <v>116</v>
      </c>
      <c r="W167" s="3">
        <f>Results!$O$49</f>
        <v>-3</v>
      </c>
      <c r="X167" s="11">
        <v>1</v>
      </c>
      <c r="Y167" s="3">
        <f t="shared" si="323"/>
        <v>-3</v>
      </c>
      <c r="Z167" s="3" t="s">
        <v>119</v>
      </c>
      <c r="AA167" s="3">
        <f>Results!$O$54</f>
        <v>3</v>
      </c>
      <c r="AB167" s="11">
        <v>1</v>
      </c>
      <c r="AC167" s="3">
        <f t="shared" si="324"/>
        <v>3</v>
      </c>
      <c r="AD167" s="3" t="s">
        <v>16</v>
      </c>
      <c r="AE167" s="3">
        <f>Results!$O$59</f>
        <v>0</v>
      </c>
      <c r="AF167" s="11">
        <v>2</v>
      </c>
      <c r="AG167" s="3">
        <f t="shared" si="325"/>
        <v>0</v>
      </c>
      <c r="AI167" s="3" t="s">
        <v>66</v>
      </c>
      <c r="AJ167" s="3">
        <f>Results!$O$44</f>
        <v>-1</v>
      </c>
      <c r="AK167" s="11">
        <v>2</v>
      </c>
      <c r="AL167" s="3">
        <f t="shared" si="326"/>
        <v>-2</v>
      </c>
      <c r="AM167" s="3" t="s">
        <v>116</v>
      </c>
      <c r="AN167" s="3">
        <f>Results!$O$49</f>
        <v>-3</v>
      </c>
      <c r="AO167" s="11">
        <v>1</v>
      </c>
      <c r="AP167" s="3">
        <f t="shared" si="327"/>
        <v>-3</v>
      </c>
      <c r="AQ167" s="3" t="s">
        <v>119</v>
      </c>
      <c r="AR167" s="3">
        <f>Results!$O$54</f>
        <v>3</v>
      </c>
      <c r="AS167" s="11">
        <v>1</v>
      </c>
      <c r="AT167" s="3">
        <f t="shared" si="328"/>
        <v>3</v>
      </c>
      <c r="AU167" s="3" t="s">
        <v>16</v>
      </c>
      <c r="AV167" s="3">
        <f>Results!$O$59</f>
        <v>0</v>
      </c>
      <c r="AW167" s="11">
        <v>2</v>
      </c>
      <c r="AX167" s="3">
        <f t="shared" si="329"/>
        <v>0</v>
      </c>
    </row>
    <row r="168" spans="1:50" ht="13.5" customHeight="1" x14ac:dyDescent="0.2">
      <c r="A168" s="3" t="s">
        <v>114</v>
      </c>
      <c r="B168" s="3">
        <f>Results!$O$45</f>
        <v>-3</v>
      </c>
      <c r="C168" s="11">
        <v>1</v>
      </c>
      <c r="D168" s="3">
        <f t="shared" si="318"/>
        <v>-3</v>
      </c>
      <c r="E168" s="3" t="s">
        <v>117</v>
      </c>
      <c r="F168" s="3">
        <f>Results!$O$50</f>
        <v>9</v>
      </c>
      <c r="G168" s="11">
        <v>2</v>
      </c>
      <c r="H168" s="3">
        <f t="shared" si="319"/>
        <v>18</v>
      </c>
      <c r="I168" s="3" t="s">
        <v>120</v>
      </c>
      <c r="J168" s="3">
        <f>Results!$O$55</f>
        <v>-2</v>
      </c>
      <c r="K168" s="11">
        <v>1</v>
      </c>
      <c r="L168" s="3">
        <f t="shared" si="320"/>
        <v>-2</v>
      </c>
      <c r="M168" s="3" t="s">
        <v>83</v>
      </c>
      <c r="N168" s="3">
        <f>Results!$O$60</f>
        <v>6</v>
      </c>
      <c r="O168" s="11">
        <v>1</v>
      </c>
      <c r="P168" s="3">
        <f t="shared" si="321"/>
        <v>6</v>
      </c>
      <c r="R168" s="3" t="s">
        <v>114</v>
      </c>
      <c r="S168" s="3">
        <f>Results!$O$45</f>
        <v>-3</v>
      </c>
      <c r="T168" s="11"/>
      <c r="U168" s="3">
        <f t="shared" si="322"/>
        <v>0</v>
      </c>
      <c r="V168" s="3" t="s">
        <v>117</v>
      </c>
      <c r="W168" s="3">
        <f>Results!$O$50</f>
        <v>9</v>
      </c>
      <c r="X168" s="11">
        <v>2</v>
      </c>
      <c r="Y168" s="3">
        <f t="shared" si="323"/>
        <v>18</v>
      </c>
      <c r="Z168" s="3" t="s">
        <v>120</v>
      </c>
      <c r="AA168" s="3">
        <f>Results!$O$55</f>
        <v>-2</v>
      </c>
      <c r="AB168" s="11"/>
      <c r="AC168" s="3">
        <f t="shared" si="324"/>
        <v>0</v>
      </c>
      <c r="AD168" s="3" t="s">
        <v>83</v>
      </c>
      <c r="AE168" s="3">
        <f>Results!$O$60</f>
        <v>6</v>
      </c>
      <c r="AF168" s="11">
        <v>1</v>
      </c>
      <c r="AG168" s="3">
        <f t="shared" si="325"/>
        <v>6</v>
      </c>
      <c r="AI168" s="3" t="s">
        <v>114</v>
      </c>
      <c r="AJ168" s="3">
        <f>Results!$O$45</f>
        <v>-3</v>
      </c>
      <c r="AK168" s="11"/>
      <c r="AL168" s="3">
        <f t="shared" si="326"/>
        <v>0</v>
      </c>
      <c r="AM168" s="3" t="s">
        <v>117</v>
      </c>
      <c r="AN168" s="3">
        <f>Results!$O$50</f>
        <v>9</v>
      </c>
      <c r="AO168" s="11">
        <v>2</v>
      </c>
      <c r="AP168" s="3">
        <f t="shared" si="327"/>
        <v>18</v>
      </c>
      <c r="AQ168" s="3" t="s">
        <v>120</v>
      </c>
      <c r="AR168" s="3">
        <f>Results!$O$55</f>
        <v>-2</v>
      </c>
      <c r="AS168" s="11"/>
      <c r="AT168" s="3">
        <f t="shared" si="328"/>
        <v>0</v>
      </c>
      <c r="AU168" s="3" t="s">
        <v>83</v>
      </c>
      <c r="AV168" s="3">
        <f>Results!$O$60</f>
        <v>6</v>
      </c>
      <c r="AW168" s="11">
        <v>3</v>
      </c>
      <c r="AX168" s="3">
        <f t="shared" si="329"/>
        <v>18</v>
      </c>
    </row>
    <row r="169" spans="1:50" ht="13.5" customHeight="1" thickBot="1" x14ac:dyDescent="0.25">
      <c r="A169" s="19" t="s">
        <v>115</v>
      </c>
      <c r="B169" s="19">
        <f>Results!$O$46</f>
        <v>12</v>
      </c>
      <c r="C169" s="20">
        <v>3</v>
      </c>
      <c r="D169" s="19">
        <f t="shared" si="318"/>
        <v>36</v>
      </c>
      <c r="E169" s="19" t="s">
        <v>118</v>
      </c>
      <c r="F169" s="19">
        <f>Results!$O$51</f>
        <v>-1</v>
      </c>
      <c r="G169" s="20"/>
      <c r="H169" s="19">
        <f t="shared" si="319"/>
        <v>0</v>
      </c>
      <c r="I169" s="19" t="s">
        <v>121</v>
      </c>
      <c r="J169" s="19">
        <f>Results!$O$56</f>
        <v>9</v>
      </c>
      <c r="K169" s="20">
        <v>2</v>
      </c>
      <c r="L169" s="19">
        <f t="shared" si="320"/>
        <v>18</v>
      </c>
      <c r="M169" s="19" t="s">
        <v>122</v>
      </c>
      <c r="N169" s="19">
        <f>Results!$O$61</f>
        <v>-3</v>
      </c>
      <c r="O169" s="20"/>
      <c r="P169" s="19">
        <f t="shared" si="321"/>
        <v>0</v>
      </c>
      <c r="R169" s="19" t="s">
        <v>115</v>
      </c>
      <c r="S169" s="19">
        <f>Results!$O$46</f>
        <v>12</v>
      </c>
      <c r="T169" s="20">
        <v>2</v>
      </c>
      <c r="U169" s="19">
        <f t="shared" si="322"/>
        <v>24</v>
      </c>
      <c r="V169" s="19" t="s">
        <v>118</v>
      </c>
      <c r="W169" s="19">
        <f>Results!$O$51</f>
        <v>-1</v>
      </c>
      <c r="X169" s="20"/>
      <c r="Y169" s="19">
        <f t="shared" si="323"/>
        <v>0</v>
      </c>
      <c r="Z169" s="19" t="s">
        <v>121</v>
      </c>
      <c r="AA169" s="19">
        <f>Results!$O$56</f>
        <v>9</v>
      </c>
      <c r="AB169" s="20">
        <v>2</v>
      </c>
      <c r="AC169" s="19">
        <f t="shared" si="324"/>
        <v>18</v>
      </c>
      <c r="AD169" s="19" t="s">
        <v>122</v>
      </c>
      <c r="AE169" s="19">
        <f>Results!$O$61</f>
        <v>-3</v>
      </c>
      <c r="AF169" s="20"/>
      <c r="AG169" s="19">
        <f t="shared" si="325"/>
        <v>0</v>
      </c>
      <c r="AI169" s="19" t="s">
        <v>115</v>
      </c>
      <c r="AJ169" s="19">
        <f>Results!$O$46</f>
        <v>12</v>
      </c>
      <c r="AK169" s="20">
        <v>1</v>
      </c>
      <c r="AL169" s="19">
        <f t="shared" si="326"/>
        <v>12</v>
      </c>
      <c r="AM169" s="19" t="s">
        <v>118</v>
      </c>
      <c r="AN169" s="19">
        <f>Results!$O$51</f>
        <v>-1</v>
      </c>
      <c r="AO169" s="20"/>
      <c r="AP169" s="19">
        <f t="shared" si="327"/>
        <v>0</v>
      </c>
      <c r="AQ169" s="19" t="s">
        <v>121</v>
      </c>
      <c r="AR169" s="19">
        <f>Results!$O$56</f>
        <v>9</v>
      </c>
      <c r="AS169" s="20">
        <v>2</v>
      </c>
      <c r="AT169" s="19">
        <f t="shared" si="328"/>
        <v>18</v>
      </c>
      <c r="AU169" s="19" t="s">
        <v>122</v>
      </c>
      <c r="AV169" s="19">
        <f>Results!$O$61</f>
        <v>-3</v>
      </c>
      <c r="AW169" s="20">
        <v>1</v>
      </c>
      <c r="AX169" s="19">
        <f t="shared" si="329"/>
        <v>-3</v>
      </c>
    </row>
    <row r="170" spans="1:50" s="27" customFormat="1" ht="13.5" customHeight="1" thickBot="1" x14ac:dyDescent="0.25">
      <c r="A170" s="28"/>
      <c r="B170" s="28"/>
      <c r="C170" s="29"/>
      <c r="D170" s="28"/>
      <c r="E170" s="28"/>
      <c r="F170" s="28"/>
      <c r="G170" s="29"/>
      <c r="H170" s="28"/>
      <c r="I170" s="28"/>
      <c r="J170" s="28"/>
      <c r="K170" s="29"/>
      <c r="L170" s="28"/>
      <c r="M170" s="28"/>
      <c r="N170" s="28"/>
      <c r="O170" s="29"/>
      <c r="P170" s="28"/>
      <c r="R170" s="28"/>
      <c r="S170" s="28"/>
      <c r="T170" s="29"/>
      <c r="U170" s="28"/>
      <c r="V170" s="28"/>
      <c r="W170" s="28"/>
      <c r="X170" s="29"/>
      <c r="Y170" s="28"/>
      <c r="Z170" s="28"/>
      <c r="AA170" s="28"/>
      <c r="AB170" s="29"/>
      <c r="AC170" s="28"/>
      <c r="AD170" s="28"/>
      <c r="AE170" s="28"/>
      <c r="AF170" s="29"/>
      <c r="AG170" s="28"/>
      <c r="AI170" s="28"/>
      <c r="AJ170" s="28"/>
      <c r="AK170" s="29"/>
      <c r="AL170" s="28"/>
      <c r="AM170" s="28"/>
      <c r="AN170" s="28"/>
      <c r="AO170" s="29"/>
      <c r="AP170" s="28"/>
      <c r="AQ170" s="28"/>
      <c r="AR170" s="28"/>
      <c r="AS170" s="29"/>
      <c r="AT170" s="28"/>
      <c r="AU170" s="28"/>
      <c r="AV170" s="28"/>
      <c r="AW170" s="39" t="s">
        <v>152</v>
      </c>
      <c r="AX170" s="28"/>
    </row>
    <row r="171" spans="1:50" ht="13.5" customHeight="1" x14ac:dyDescent="0.2">
      <c r="A171" s="12" t="s">
        <v>0</v>
      </c>
      <c r="B171" s="59" t="s">
        <v>132</v>
      </c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13" t="s">
        <v>50</v>
      </c>
      <c r="N171" s="61">
        <f>SUM(D173:D176,D178:D181,H173:H176, H178:H181,L173:L176,L178:L181,P173:P176,P178:P181,D183:D186,H183:H186,L183:L186,P183:P186)</f>
        <v>372</v>
      </c>
      <c r="O171" s="60"/>
      <c r="P171" s="62"/>
      <c r="R171" s="12" t="s">
        <v>0</v>
      </c>
      <c r="S171" s="59" t="s">
        <v>141</v>
      </c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13" t="s">
        <v>50</v>
      </c>
      <c r="AE171" s="61">
        <f>SUM(U173:U176,U178:U181,Y173:Y176, Y178:Y181,AC173:AC176,AC178:AC181,AG173:AG176,AG178:AG181,U183:U186,Y183:Y186,AC183:AC186,AG183:AG186)</f>
        <v>362</v>
      </c>
      <c r="AF171" s="60"/>
      <c r="AG171" s="62"/>
      <c r="AI171" s="12" t="s">
        <v>0</v>
      </c>
      <c r="AJ171" s="59" t="s">
        <v>153</v>
      </c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13" t="s">
        <v>50</v>
      </c>
      <c r="AV171" s="61">
        <f>SUM(AL173:AL176,AL178:AL181,AP173:AP176, AP178:AP181,AT173:AT176,AT178:AT181,AX173:AX176,AX178:AX181,AL183:AL186,AP183:AP186,AT183:AT186,AX183:AX186)</f>
        <v>358</v>
      </c>
      <c r="AW171" s="60"/>
      <c r="AX171" s="62"/>
    </row>
    <row r="172" spans="1:50" ht="13.5" customHeight="1" x14ac:dyDescent="0.2">
      <c r="A172" s="14" t="s">
        <v>3</v>
      </c>
      <c r="B172" s="15" t="s">
        <v>51</v>
      </c>
      <c r="C172" s="16" t="s">
        <v>21</v>
      </c>
      <c r="D172" s="15" t="s">
        <v>49</v>
      </c>
      <c r="E172" s="15" t="s">
        <v>6</v>
      </c>
      <c r="F172" s="15" t="s">
        <v>51</v>
      </c>
      <c r="G172" s="16" t="s">
        <v>21</v>
      </c>
      <c r="H172" s="15" t="s">
        <v>49</v>
      </c>
      <c r="I172" s="15" t="s">
        <v>7</v>
      </c>
      <c r="J172" s="15" t="s">
        <v>51</v>
      </c>
      <c r="K172" s="16" t="s">
        <v>21</v>
      </c>
      <c r="L172" s="15" t="s">
        <v>49</v>
      </c>
      <c r="M172" s="15" t="s">
        <v>13</v>
      </c>
      <c r="N172" s="15" t="s">
        <v>51</v>
      </c>
      <c r="O172" s="16" t="s">
        <v>21</v>
      </c>
      <c r="P172" s="17" t="s">
        <v>49</v>
      </c>
      <c r="R172" s="14" t="s">
        <v>3</v>
      </c>
      <c r="S172" s="15" t="s">
        <v>51</v>
      </c>
      <c r="T172" s="16" t="s">
        <v>21</v>
      </c>
      <c r="U172" s="15" t="s">
        <v>49</v>
      </c>
      <c r="V172" s="15" t="s">
        <v>6</v>
      </c>
      <c r="W172" s="15" t="s">
        <v>51</v>
      </c>
      <c r="X172" s="16" t="s">
        <v>21</v>
      </c>
      <c r="Y172" s="15" t="s">
        <v>49</v>
      </c>
      <c r="Z172" s="15" t="s">
        <v>7</v>
      </c>
      <c r="AA172" s="15" t="s">
        <v>51</v>
      </c>
      <c r="AB172" s="16" t="s">
        <v>21</v>
      </c>
      <c r="AC172" s="15" t="s">
        <v>49</v>
      </c>
      <c r="AD172" s="15" t="s">
        <v>13</v>
      </c>
      <c r="AE172" s="15" t="s">
        <v>51</v>
      </c>
      <c r="AF172" s="16" t="s">
        <v>21</v>
      </c>
      <c r="AG172" s="17" t="s">
        <v>49</v>
      </c>
      <c r="AI172" s="14" t="s">
        <v>3</v>
      </c>
      <c r="AJ172" s="15" t="s">
        <v>51</v>
      </c>
      <c r="AK172" s="16" t="s">
        <v>21</v>
      </c>
      <c r="AL172" s="15" t="s">
        <v>49</v>
      </c>
      <c r="AM172" s="15" t="s">
        <v>6</v>
      </c>
      <c r="AN172" s="15" t="s">
        <v>51</v>
      </c>
      <c r="AO172" s="16" t="s">
        <v>21</v>
      </c>
      <c r="AP172" s="15" t="s">
        <v>49</v>
      </c>
      <c r="AQ172" s="15" t="s">
        <v>7</v>
      </c>
      <c r="AR172" s="15" t="s">
        <v>51</v>
      </c>
      <c r="AS172" s="16" t="s">
        <v>21</v>
      </c>
      <c r="AT172" s="15" t="s">
        <v>49</v>
      </c>
      <c r="AU172" s="15" t="s">
        <v>13</v>
      </c>
      <c r="AV172" s="15" t="s">
        <v>51</v>
      </c>
      <c r="AW172" s="16" t="s">
        <v>21</v>
      </c>
      <c r="AX172" s="17" t="s">
        <v>49</v>
      </c>
    </row>
    <row r="173" spans="1:50" ht="13.5" customHeight="1" x14ac:dyDescent="0.2">
      <c r="A173" s="3" t="s">
        <v>71</v>
      </c>
      <c r="B173" s="3">
        <f>Results!$O$3</f>
        <v>3</v>
      </c>
      <c r="C173" s="11">
        <v>3</v>
      </c>
      <c r="D173" s="3">
        <f t="shared" ref="D173:D176" si="330">B173*C173</f>
        <v>9</v>
      </c>
      <c r="E173" s="3" t="s">
        <v>76</v>
      </c>
      <c r="F173" s="3">
        <f>Results!$O$8</f>
        <v>2</v>
      </c>
      <c r="G173" s="11">
        <v>2</v>
      </c>
      <c r="H173" s="3">
        <f t="shared" ref="H173:H176" si="331">F173*G173</f>
        <v>4</v>
      </c>
      <c r="I173" s="3" t="s">
        <v>80</v>
      </c>
      <c r="J173" s="3">
        <f>Results!$O$13</f>
        <v>2</v>
      </c>
      <c r="K173" s="11">
        <v>3</v>
      </c>
      <c r="L173" s="3">
        <f t="shared" ref="L173:L176" si="332">J173*K173</f>
        <v>6</v>
      </c>
      <c r="M173" s="3" t="s">
        <v>68</v>
      </c>
      <c r="N173" s="3">
        <f>Results!$O$18</f>
        <v>11</v>
      </c>
      <c r="O173" s="11">
        <v>3</v>
      </c>
      <c r="P173" s="18">
        <f>N173*O173</f>
        <v>33</v>
      </c>
      <c r="R173" s="3" t="s">
        <v>71</v>
      </c>
      <c r="S173" s="3">
        <f>Results!$O$3</f>
        <v>3</v>
      </c>
      <c r="T173" s="11">
        <v>3</v>
      </c>
      <c r="U173" s="3">
        <f t="shared" ref="U173:U176" si="333">S173*T173</f>
        <v>9</v>
      </c>
      <c r="V173" s="3" t="s">
        <v>76</v>
      </c>
      <c r="W173" s="3">
        <f>Results!$O$8</f>
        <v>2</v>
      </c>
      <c r="X173" s="11">
        <v>1</v>
      </c>
      <c r="Y173" s="3">
        <f t="shared" ref="Y173:Y176" si="334">W173*X173</f>
        <v>2</v>
      </c>
      <c r="Z173" s="3" t="s">
        <v>80</v>
      </c>
      <c r="AA173" s="3">
        <f>Results!$O$13</f>
        <v>2</v>
      </c>
      <c r="AB173" s="11">
        <v>3</v>
      </c>
      <c r="AC173" s="3">
        <f t="shared" ref="AC173:AC176" si="335">AA173*AB173</f>
        <v>6</v>
      </c>
      <c r="AD173" s="3" t="s">
        <v>68</v>
      </c>
      <c r="AE173" s="3">
        <f>Results!$O$18</f>
        <v>11</v>
      </c>
      <c r="AF173" s="11">
        <v>2</v>
      </c>
      <c r="AG173" s="18">
        <f>AE173*AF173</f>
        <v>22</v>
      </c>
      <c r="AI173" s="3" t="s">
        <v>71</v>
      </c>
      <c r="AJ173" s="3">
        <f>Results!$O$3</f>
        <v>3</v>
      </c>
      <c r="AK173" s="11">
        <v>3</v>
      </c>
      <c r="AL173" s="3">
        <f t="shared" ref="AL173:AL176" si="336">AJ173*AK173</f>
        <v>9</v>
      </c>
      <c r="AM173" s="3" t="s">
        <v>76</v>
      </c>
      <c r="AN173" s="3">
        <f>Results!$O$8</f>
        <v>2</v>
      </c>
      <c r="AO173" s="11">
        <v>2</v>
      </c>
      <c r="AP173" s="3">
        <f t="shared" ref="AP173:AP176" si="337">AN173*AO173</f>
        <v>4</v>
      </c>
      <c r="AQ173" s="3" t="s">
        <v>80</v>
      </c>
      <c r="AR173" s="3">
        <f>Results!$O$13</f>
        <v>2</v>
      </c>
      <c r="AS173" s="11">
        <v>3</v>
      </c>
      <c r="AT173" s="3">
        <f t="shared" ref="AT173:AT176" si="338">AR173*AS173</f>
        <v>6</v>
      </c>
      <c r="AU173" s="3" t="s">
        <v>68</v>
      </c>
      <c r="AV173" s="3">
        <f>Results!$O$18</f>
        <v>11</v>
      </c>
      <c r="AW173" s="11">
        <v>3</v>
      </c>
      <c r="AX173" s="18">
        <f>AV173*AW173</f>
        <v>33</v>
      </c>
    </row>
    <row r="174" spans="1:50" ht="13.5" customHeight="1" x14ac:dyDescent="0.2">
      <c r="A174" s="3" t="s">
        <v>123</v>
      </c>
      <c r="B174" s="3">
        <f>Results!$O$4</f>
        <v>-14</v>
      </c>
      <c r="C174" s="11"/>
      <c r="D174" s="3">
        <f t="shared" si="330"/>
        <v>0</v>
      </c>
      <c r="E174" s="3" t="s">
        <v>103</v>
      </c>
      <c r="F174" s="3">
        <f>Results!$O$9</f>
        <v>1</v>
      </c>
      <c r="G174" s="11">
        <v>1</v>
      </c>
      <c r="H174" s="3">
        <f t="shared" si="331"/>
        <v>1</v>
      </c>
      <c r="I174" s="3" t="s">
        <v>77</v>
      </c>
      <c r="J174" s="3">
        <f>Results!$O$14</f>
        <v>4</v>
      </c>
      <c r="K174" s="11">
        <v>2</v>
      </c>
      <c r="L174" s="3">
        <f t="shared" si="332"/>
        <v>8</v>
      </c>
      <c r="M174" s="3" t="s">
        <v>106</v>
      </c>
      <c r="N174" s="3">
        <f>Results!$O$19</f>
        <v>-7</v>
      </c>
      <c r="O174" s="11">
        <v>1</v>
      </c>
      <c r="P174" s="18">
        <f>N174*O174</f>
        <v>-7</v>
      </c>
      <c r="R174" s="3" t="s">
        <v>123</v>
      </c>
      <c r="S174" s="3">
        <f>Results!$O$4</f>
        <v>-14</v>
      </c>
      <c r="T174" s="11"/>
      <c r="U174" s="3">
        <f t="shared" si="333"/>
        <v>0</v>
      </c>
      <c r="V174" s="3" t="s">
        <v>103</v>
      </c>
      <c r="W174" s="3">
        <f>Results!$O$9</f>
        <v>1</v>
      </c>
      <c r="X174" s="11">
        <v>2</v>
      </c>
      <c r="Y174" s="3">
        <f t="shared" si="334"/>
        <v>2</v>
      </c>
      <c r="Z174" s="3" t="s">
        <v>77</v>
      </c>
      <c r="AA174" s="3">
        <f>Results!$O$14</f>
        <v>4</v>
      </c>
      <c r="AB174" s="11">
        <v>2</v>
      </c>
      <c r="AC174" s="3">
        <f t="shared" si="335"/>
        <v>8</v>
      </c>
      <c r="AD174" s="3" t="s">
        <v>106</v>
      </c>
      <c r="AE174" s="3">
        <f>Results!$O$19</f>
        <v>-7</v>
      </c>
      <c r="AF174" s="11">
        <v>1</v>
      </c>
      <c r="AG174" s="18">
        <f>AE174*AF174</f>
        <v>-7</v>
      </c>
      <c r="AI174" s="3" t="s">
        <v>123</v>
      </c>
      <c r="AJ174" s="3">
        <f>Results!$O$4</f>
        <v>-14</v>
      </c>
      <c r="AK174" s="11"/>
      <c r="AL174" s="3">
        <f t="shared" si="336"/>
        <v>0</v>
      </c>
      <c r="AM174" s="3" t="s">
        <v>103</v>
      </c>
      <c r="AN174" s="3">
        <f>Results!$O$9</f>
        <v>1</v>
      </c>
      <c r="AO174" s="11">
        <v>1</v>
      </c>
      <c r="AP174" s="3">
        <f t="shared" si="337"/>
        <v>1</v>
      </c>
      <c r="AQ174" s="3" t="s">
        <v>77</v>
      </c>
      <c r="AR174" s="3">
        <f>Results!$O$14</f>
        <v>4</v>
      </c>
      <c r="AS174" s="11">
        <v>2</v>
      </c>
      <c r="AT174" s="3">
        <f t="shared" si="338"/>
        <v>8</v>
      </c>
      <c r="AU174" s="3" t="s">
        <v>106</v>
      </c>
      <c r="AV174" s="3">
        <f>Results!$O$19</f>
        <v>-7</v>
      </c>
      <c r="AW174" s="11">
        <v>2</v>
      </c>
      <c r="AX174" s="18">
        <f>AV174*AW174</f>
        <v>-14</v>
      </c>
    </row>
    <row r="175" spans="1:50" ht="13.5" customHeight="1" x14ac:dyDescent="0.2">
      <c r="A175" s="3" t="s">
        <v>124</v>
      </c>
      <c r="B175" s="3">
        <f>Results!$O$5</f>
        <v>7</v>
      </c>
      <c r="C175" s="11">
        <v>1</v>
      </c>
      <c r="D175" s="3">
        <f t="shared" si="330"/>
        <v>7</v>
      </c>
      <c r="E175" s="3" t="s">
        <v>65</v>
      </c>
      <c r="F175" s="3">
        <f>Results!$O$10</f>
        <v>2</v>
      </c>
      <c r="G175" s="11"/>
      <c r="H175" s="3">
        <f t="shared" si="331"/>
        <v>0</v>
      </c>
      <c r="I175" s="3" t="s">
        <v>104</v>
      </c>
      <c r="J175" s="3">
        <f>Results!$O$15</f>
        <v>-2</v>
      </c>
      <c r="K175" s="11"/>
      <c r="L175" s="3">
        <f t="shared" si="332"/>
        <v>0</v>
      </c>
      <c r="M175" s="3" t="s">
        <v>72</v>
      </c>
      <c r="N175" s="3">
        <f>Results!$O$20</f>
        <v>9</v>
      </c>
      <c r="O175" s="11"/>
      <c r="P175" s="18">
        <f>N175*O175</f>
        <v>0</v>
      </c>
      <c r="R175" s="3" t="s">
        <v>124</v>
      </c>
      <c r="S175" s="3">
        <f>Results!$O$5</f>
        <v>7</v>
      </c>
      <c r="T175" s="11">
        <v>2</v>
      </c>
      <c r="U175" s="3">
        <f t="shared" si="333"/>
        <v>14</v>
      </c>
      <c r="V175" s="3" t="s">
        <v>65</v>
      </c>
      <c r="W175" s="3">
        <f>Results!$O$10</f>
        <v>2</v>
      </c>
      <c r="X175" s="11"/>
      <c r="Y175" s="3">
        <f t="shared" si="334"/>
        <v>0</v>
      </c>
      <c r="Z175" s="3" t="s">
        <v>104</v>
      </c>
      <c r="AA175" s="3">
        <f>Results!$O$15</f>
        <v>-2</v>
      </c>
      <c r="AB175" s="11"/>
      <c r="AC175" s="3">
        <f t="shared" si="335"/>
        <v>0</v>
      </c>
      <c r="AD175" s="3" t="s">
        <v>72</v>
      </c>
      <c r="AE175" s="3">
        <f>Results!$O$20</f>
        <v>9</v>
      </c>
      <c r="AF175" s="11"/>
      <c r="AG175" s="18">
        <f>AE175*AF175</f>
        <v>0</v>
      </c>
      <c r="AI175" s="3" t="s">
        <v>124</v>
      </c>
      <c r="AJ175" s="3">
        <f>Results!$O$5</f>
        <v>7</v>
      </c>
      <c r="AK175" s="11">
        <v>1</v>
      </c>
      <c r="AL175" s="3">
        <f t="shared" si="336"/>
        <v>7</v>
      </c>
      <c r="AM175" s="3" t="s">
        <v>65</v>
      </c>
      <c r="AN175" s="3">
        <f>Results!$O$10</f>
        <v>2</v>
      </c>
      <c r="AO175" s="11"/>
      <c r="AP175" s="3">
        <f t="shared" si="337"/>
        <v>0</v>
      </c>
      <c r="AQ175" s="3" t="s">
        <v>104</v>
      </c>
      <c r="AR175" s="3">
        <f>Results!$O$15</f>
        <v>-2</v>
      </c>
      <c r="AS175" s="11"/>
      <c r="AT175" s="3">
        <f t="shared" si="338"/>
        <v>0</v>
      </c>
      <c r="AU175" s="3" t="s">
        <v>72</v>
      </c>
      <c r="AV175" s="3">
        <f>Results!$O$20</f>
        <v>9</v>
      </c>
      <c r="AW175" s="11"/>
      <c r="AX175" s="18">
        <f>AV175*AW175</f>
        <v>0</v>
      </c>
    </row>
    <row r="176" spans="1:50" ht="13.5" customHeight="1" x14ac:dyDescent="0.2">
      <c r="A176" s="3" t="s">
        <v>102</v>
      </c>
      <c r="B176" s="3">
        <f>Results!$O$6</f>
        <v>0</v>
      </c>
      <c r="C176" s="11">
        <v>2</v>
      </c>
      <c r="D176" s="3">
        <f t="shared" si="330"/>
        <v>0</v>
      </c>
      <c r="E176" s="3" t="s">
        <v>12</v>
      </c>
      <c r="F176" s="3">
        <f>Results!$O$11</f>
        <v>3</v>
      </c>
      <c r="G176" s="11">
        <v>3</v>
      </c>
      <c r="H176" s="3">
        <f t="shared" si="331"/>
        <v>9</v>
      </c>
      <c r="I176" s="3" t="s">
        <v>105</v>
      </c>
      <c r="J176" s="3">
        <f>Results!$O$16</f>
        <v>4</v>
      </c>
      <c r="K176" s="11">
        <v>1</v>
      </c>
      <c r="L176" s="3">
        <f t="shared" si="332"/>
        <v>4</v>
      </c>
      <c r="M176" s="3" t="s">
        <v>107</v>
      </c>
      <c r="N176" s="3">
        <f>Results!$O$21</f>
        <v>-3</v>
      </c>
      <c r="O176" s="11">
        <v>2</v>
      </c>
      <c r="P176" s="18">
        <f>N176*O176</f>
        <v>-6</v>
      </c>
      <c r="R176" s="3" t="s">
        <v>102</v>
      </c>
      <c r="S176" s="3">
        <f>Results!$O$6</f>
        <v>0</v>
      </c>
      <c r="T176" s="11">
        <v>1</v>
      </c>
      <c r="U176" s="3">
        <f t="shared" si="333"/>
        <v>0</v>
      </c>
      <c r="V176" s="3" t="s">
        <v>12</v>
      </c>
      <c r="W176" s="3">
        <f>Results!$O$11</f>
        <v>3</v>
      </c>
      <c r="X176" s="11">
        <v>3</v>
      </c>
      <c r="Y176" s="3">
        <f t="shared" si="334"/>
        <v>9</v>
      </c>
      <c r="Z176" s="3" t="s">
        <v>105</v>
      </c>
      <c r="AA176" s="3">
        <f>Results!$O$16</f>
        <v>4</v>
      </c>
      <c r="AB176" s="11">
        <v>1</v>
      </c>
      <c r="AC176" s="3">
        <f t="shared" si="335"/>
        <v>4</v>
      </c>
      <c r="AD176" s="3" t="s">
        <v>107</v>
      </c>
      <c r="AE176" s="3">
        <f>Results!$O$21</f>
        <v>-3</v>
      </c>
      <c r="AF176" s="11">
        <v>3</v>
      </c>
      <c r="AG176" s="18">
        <f>AE176*AF176</f>
        <v>-9</v>
      </c>
      <c r="AI176" s="3" t="s">
        <v>102</v>
      </c>
      <c r="AJ176" s="3">
        <f>Results!$O$6</f>
        <v>0</v>
      </c>
      <c r="AK176" s="11">
        <v>2</v>
      </c>
      <c r="AL176" s="3">
        <f t="shared" si="336"/>
        <v>0</v>
      </c>
      <c r="AM176" s="3" t="s">
        <v>12</v>
      </c>
      <c r="AN176" s="3">
        <f>Results!$O$11</f>
        <v>3</v>
      </c>
      <c r="AO176" s="11">
        <v>3</v>
      </c>
      <c r="AP176" s="3">
        <f t="shared" si="337"/>
        <v>9</v>
      </c>
      <c r="AQ176" s="3" t="s">
        <v>105</v>
      </c>
      <c r="AR176" s="3">
        <f>Results!$O$16</f>
        <v>4</v>
      </c>
      <c r="AS176" s="11">
        <v>1</v>
      </c>
      <c r="AT176" s="3">
        <f t="shared" si="338"/>
        <v>4</v>
      </c>
      <c r="AU176" s="3" t="s">
        <v>107</v>
      </c>
      <c r="AV176" s="3">
        <f>Results!$O$21</f>
        <v>-3</v>
      </c>
      <c r="AW176" s="11">
        <v>1</v>
      </c>
      <c r="AX176" s="18">
        <f>AV176*AW176</f>
        <v>-3</v>
      </c>
    </row>
    <row r="177" spans="1:50" ht="13.5" customHeight="1" x14ac:dyDescent="0.2">
      <c r="A177" s="14" t="s">
        <v>14</v>
      </c>
      <c r="B177" s="15" t="s">
        <v>51</v>
      </c>
      <c r="C177" s="16" t="s">
        <v>21</v>
      </c>
      <c r="D177" s="15" t="s">
        <v>49</v>
      </c>
      <c r="E177" s="15" t="s">
        <v>15</v>
      </c>
      <c r="F177" s="15" t="s">
        <v>51</v>
      </c>
      <c r="G177" s="16" t="s">
        <v>21</v>
      </c>
      <c r="H177" s="15" t="s">
        <v>49</v>
      </c>
      <c r="I177" s="15" t="s">
        <v>78</v>
      </c>
      <c r="J177" s="15" t="s">
        <v>51</v>
      </c>
      <c r="K177" s="16" t="s">
        <v>21</v>
      </c>
      <c r="L177" s="15" t="s">
        <v>49</v>
      </c>
      <c r="M177" s="15" t="s">
        <v>79</v>
      </c>
      <c r="N177" s="15" t="s">
        <v>51</v>
      </c>
      <c r="O177" s="16" t="s">
        <v>21</v>
      </c>
      <c r="P177" s="15" t="s">
        <v>49</v>
      </c>
      <c r="R177" s="14" t="s">
        <v>14</v>
      </c>
      <c r="S177" s="15" t="s">
        <v>51</v>
      </c>
      <c r="T177" s="16" t="s">
        <v>21</v>
      </c>
      <c r="U177" s="15" t="s">
        <v>49</v>
      </c>
      <c r="V177" s="15" t="s">
        <v>15</v>
      </c>
      <c r="W177" s="15" t="s">
        <v>51</v>
      </c>
      <c r="X177" s="16" t="s">
        <v>21</v>
      </c>
      <c r="Y177" s="15" t="s">
        <v>49</v>
      </c>
      <c r="Z177" s="15" t="s">
        <v>78</v>
      </c>
      <c r="AA177" s="15" t="s">
        <v>51</v>
      </c>
      <c r="AB177" s="16" t="s">
        <v>21</v>
      </c>
      <c r="AC177" s="15" t="s">
        <v>49</v>
      </c>
      <c r="AD177" s="15" t="s">
        <v>79</v>
      </c>
      <c r="AE177" s="15" t="s">
        <v>51</v>
      </c>
      <c r="AF177" s="16" t="s">
        <v>21</v>
      </c>
      <c r="AG177" s="15" t="s">
        <v>49</v>
      </c>
      <c r="AI177" s="14" t="s">
        <v>14</v>
      </c>
      <c r="AJ177" s="15" t="s">
        <v>51</v>
      </c>
      <c r="AK177" s="16" t="s">
        <v>21</v>
      </c>
      <c r="AL177" s="15" t="s">
        <v>49</v>
      </c>
      <c r="AM177" s="15" t="s">
        <v>15</v>
      </c>
      <c r="AN177" s="15" t="s">
        <v>51</v>
      </c>
      <c r="AO177" s="16" t="s">
        <v>21</v>
      </c>
      <c r="AP177" s="15" t="s">
        <v>49</v>
      </c>
      <c r="AQ177" s="15" t="s">
        <v>78</v>
      </c>
      <c r="AR177" s="15" t="s">
        <v>51</v>
      </c>
      <c r="AS177" s="16" t="s">
        <v>21</v>
      </c>
      <c r="AT177" s="15" t="s">
        <v>49</v>
      </c>
      <c r="AU177" s="15" t="s">
        <v>79</v>
      </c>
      <c r="AV177" s="15" t="s">
        <v>51</v>
      </c>
      <c r="AW177" s="16" t="s">
        <v>21</v>
      </c>
      <c r="AX177" s="15" t="s">
        <v>49</v>
      </c>
    </row>
    <row r="178" spans="1:50" ht="13.5" customHeight="1" x14ac:dyDescent="0.2">
      <c r="A178" s="3" t="s">
        <v>11</v>
      </c>
      <c r="B178" s="3">
        <f>Results!$O$23</f>
        <v>18</v>
      </c>
      <c r="C178" s="11">
        <v>3</v>
      </c>
      <c r="D178" s="3">
        <f t="shared" ref="D178:D181" si="339">B178*C178</f>
        <v>54</v>
      </c>
      <c r="E178" s="3" t="s">
        <v>57</v>
      </c>
      <c r="F178" s="3">
        <f>Results!$O$28</f>
        <v>2</v>
      </c>
      <c r="G178" s="11">
        <v>3</v>
      </c>
      <c r="H178" s="3">
        <f t="shared" ref="H178:H181" si="340">F178*G178</f>
        <v>6</v>
      </c>
      <c r="I178" s="3" t="s">
        <v>18</v>
      </c>
      <c r="J178" s="3">
        <f>Results!$O$33</f>
        <v>2</v>
      </c>
      <c r="K178" s="11">
        <v>3</v>
      </c>
      <c r="L178" s="3">
        <f t="shared" ref="L178:L181" si="341">J178*K178</f>
        <v>6</v>
      </c>
      <c r="M178" s="3" t="s">
        <v>17</v>
      </c>
      <c r="N178" s="3">
        <f>Results!$O$38</f>
        <v>2</v>
      </c>
      <c r="O178" s="11">
        <v>3</v>
      </c>
      <c r="P178" s="3">
        <f t="shared" ref="P178:P181" si="342">N178*O178</f>
        <v>6</v>
      </c>
      <c r="R178" s="3" t="s">
        <v>11</v>
      </c>
      <c r="S178" s="3">
        <f>Results!$O$23</f>
        <v>18</v>
      </c>
      <c r="T178" s="11">
        <v>3</v>
      </c>
      <c r="U178" s="3">
        <f t="shared" ref="U178:U181" si="343">S178*T178</f>
        <v>54</v>
      </c>
      <c r="V178" s="3" t="s">
        <v>57</v>
      </c>
      <c r="W178" s="3">
        <f>Results!$O$28</f>
        <v>2</v>
      </c>
      <c r="X178" s="11">
        <v>3</v>
      </c>
      <c r="Y178" s="3">
        <f t="shared" ref="Y178:Y181" si="344">W178*X178</f>
        <v>6</v>
      </c>
      <c r="Z178" s="3" t="s">
        <v>18</v>
      </c>
      <c r="AA178" s="3">
        <f>Results!$O$33</f>
        <v>2</v>
      </c>
      <c r="AB178" s="11">
        <v>3</v>
      </c>
      <c r="AC178" s="3">
        <f t="shared" ref="AC178:AC181" si="345">AA178*AB178</f>
        <v>6</v>
      </c>
      <c r="AD178" s="3" t="s">
        <v>17</v>
      </c>
      <c r="AE178" s="3">
        <f>Results!$O$38</f>
        <v>2</v>
      </c>
      <c r="AF178" s="11">
        <v>3</v>
      </c>
      <c r="AG178" s="3">
        <f t="shared" ref="AG178:AG181" si="346">AE178*AF178</f>
        <v>6</v>
      </c>
      <c r="AI178" s="3" t="s">
        <v>11</v>
      </c>
      <c r="AJ178" s="3">
        <f>Results!$O$23</f>
        <v>18</v>
      </c>
      <c r="AK178" s="11">
        <v>3</v>
      </c>
      <c r="AL178" s="3">
        <f t="shared" ref="AL178:AL181" si="347">AJ178*AK178</f>
        <v>54</v>
      </c>
      <c r="AM178" s="3" t="s">
        <v>57</v>
      </c>
      <c r="AN178" s="3">
        <f>Results!$O$28</f>
        <v>2</v>
      </c>
      <c r="AO178" s="11">
        <v>5</v>
      </c>
      <c r="AP178" s="3">
        <f t="shared" ref="AP178:AP181" si="348">AN178*AO178</f>
        <v>10</v>
      </c>
      <c r="AQ178" s="3" t="s">
        <v>18</v>
      </c>
      <c r="AR178" s="3">
        <f>Results!$O$33</f>
        <v>2</v>
      </c>
      <c r="AS178" s="11">
        <v>3</v>
      </c>
      <c r="AT178" s="3">
        <f t="shared" ref="AT178:AT181" si="349">AR178*AS178</f>
        <v>6</v>
      </c>
      <c r="AU178" s="3" t="s">
        <v>17</v>
      </c>
      <c r="AV178" s="3">
        <f>Results!$O$38</f>
        <v>2</v>
      </c>
      <c r="AW178" s="11">
        <v>3</v>
      </c>
      <c r="AX178" s="3">
        <f t="shared" ref="AX178:AX181" si="350">AV178*AW178</f>
        <v>6</v>
      </c>
    </row>
    <row r="179" spans="1:50" ht="13.5" customHeight="1" x14ac:dyDescent="0.2">
      <c r="A179" s="3" t="s">
        <v>108</v>
      </c>
      <c r="B179" s="3">
        <f>Results!$O$24</f>
        <v>-5</v>
      </c>
      <c r="C179" s="11"/>
      <c r="D179" s="3">
        <f t="shared" si="339"/>
        <v>0</v>
      </c>
      <c r="E179" s="3" t="s">
        <v>75</v>
      </c>
      <c r="F179" s="3">
        <f>Results!$O$29</f>
        <v>5</v>
      </c>
      <c r="G179" s="11">
        <v>2</v>
      </c>
      <c r="H179" s="3">
        <f t="shared" si="340"/>
        <v>10</v>
      </c>
      <c r="I179" s="3" t="s">
        <v>111</v>
      </c>
      <c r="J179" s="3">
        <f>Results!$O$34</f>
        <v>2</v>
      </c>
      <c r="K179" s="11">
        <v>2</v>
      </c>
      <c r="L179" s="3">
        <f t="shared" si="341"/>
        <v>4</v>
      </c>
      <c r="M179" s="3" t="s">
        <v>113</v>
      </c>
      <c r="N179" s="3">
        <f>Results!$O$39</f>
        <v>2</v>
      </c>
      <c r="O179" s="11">
        <v>1</v>
      </c>
      <c r="P179" s="3">
        <f t="shared" si="342"/>
        <v>2</v>
      </c>
      <c r="R179" s="3" t="s">
        <v>108</v>
      </c>
      <c r="S179" s="3">
        <f>Results!$O$24</f>
        <v>-5</v>
      </c>
      <c r="T179" s="11"/>
      <c r="U179" s="3">
        <f t="shared" si="343"/>
        <v>0</v>
      </c>
      <c r="V179" s="3" t="s">
        <v>75</v>
      </c>
      <c r="W179" s="3">
        <f>Results!$O$29</f>
        <v>5</v>
      </c>
      <c r="X179" s="11">
        <v>2</v>
      </c>
      <c r="Y179" s="3">
        <f t="shared" si="344"/>
        <v>10</v>
      </c>
      <c r="Z179" s="3" t="s">
        <v>111</v>
      </c>
      <c r="AA179" s="3">
        <f>Results!$O$34</f>
        <v>2</v>
      </c>
      <c r="AB179" s="11">
        <v>2</v>
      </c>
      <c r="AC179" s="3">
        <f t="shared" si="345"/>
        <v>4</v>
      </c>
      <c r="AD179" s="3" t="s">
        <v>113</v>
      </c>
      <c r="AE179" s="3">
        <f>Results!$O$39</f>
        <v>2</v>
      </c>
      <c r="AF179" s="11"/>
      <c r="AG179" s="3">
        <f t="shared" si="346"/>
        <v>0</v>
      </c>
      <c r="AI179" s="3" t="s">
        <v>108</v>
      </c>
      <c r="AJ179" s="3">
        <f>Results!$O$24</f>
        <v>-5</v>
      </c>
      <c r="AK179" s="11"/>
      <c r="AL179" s="3">
        <f t="shared" si="347"/>
        <v>0</v>
      </c>
      <c r="AM179" s="3" t="s">
        <v>75</v>
      </c>
      <c r="AN179" s="3">
        <f>Results!$O$29</f>
        <v>5</v>
      </c>
      <c r="AO179" s="11">
        <v>3</v>
      </c>
      <c r="AP179" s="3">
        <f t="shared" si="348"/>
        <v>15</v>
      </c>
      <c r="AQ179" s="3" t="s">
        <v>111</v>
      </c>
      <c r="AR179" s="3">
        <f>Results!$O$34</f>
        <v>2</v>
      </c>
      <c r="AS179" s="11">
        <v>2</v>
      </c>
      <c r="AT179" s="3">
        <f t="shared" si="349"/>
        <v>4</v>
      </c>
      <c r="AU179" s="3" t="s">
        <v>113</v>
      </c>
      <c r="AV179" s="3">
        <f>Results!$O$39</f>
        <v>2</v>
      </c>
      <c r="AW179" s="11"/>
      <c r="AX179" s="3">
        <f t="shared" si="350"/>
        <v>0</v>
      </c>
    </row>
    <row r="180" spans="1:50" ht="13.5" customHeight="1" x14ac:dyDescent="0.2">
      <c r="A180" s="3" t="s">
        <v>109</v>
      </c>
      <c r="B180" s="3">
        <f>Results!$O$25</f>
        <v>4</v>
      </c>
      <c r="C180" s="11">
        <v>1</v>
      </c>
      <c r="D180" s="3">
        <f t="shared" si="339"/>
        <v>4</v>
      </c>
      <c r="E180" s="3" t="s">
        <v>110</v>
      </c>
      <c r="F180" s="3">
        <f>Results!$O$30</f>
        <v>14</v>
      </c>
      <c r="G180" s="11">
        <v>1</v>
      </c>
      <c r="H180" s="3">
        <f t="shared" si="340"/>
        <v>14</v>
      </c>
      <c r="I180" s="3" t="s">
        <v>67</v>
      </c>
      <c r="J180" s="3">
        <f>Results!$O$35</f>
        <v>4</v>
      </c>
      <c r="K180" s="11"/>
      <c r="L180" s="3">
        <f t="shared" si="341"/>
        <v>0</v>
      </c>
      <c r="M180" s="3" t="s">
        <v>70</v>
      </c>
      <c r="N180" s="3">
        <f>Results!$O$40</f>
        <v>3</v>
      </c>
      <c r="O180" s="11"/>
      <c r="P180" s="3">
        <f t="shared" si="342"/>
        <v>0</v>
      </c>
      <c r="R180" s="3" t="s">
        <v>109</v>
      </c>
      <c r="S180" s="3">
        <f>Results!$O$25</f>
        <v>4</v>
      </c>
      <c r="T180" s="11">
        <v>1</v>
      </c>
      <c r="U180" s="3">
        <f t="shared" si="343"/>
        <v>4</v>
      </c>
      <c r="V180" s="3" t="s">
        <v>110</v>
      </c>
      <c r="W180" s="3">
        <f>Results!$O$30</f>
        <v>14</v>
      </c>
      <c r="X180" s="11">
        <v>1</v>
      </c>
      <c r="Y180" s="3">
        <f t="shared" si="344"/>
        <v>14</v>
      </c>
      <c r="Z180" s="3" t="s">
        <v>67</v>
      </c>
      <c r="AA180" s="3">
        <f>Results!$O$35</f>
        <v>4</v>
      </c>
      <c r="AB180" s="11">
        <v>1</v>
      </c>
      <c r="AC180" s="3">
        <f t="shared" si="345"/>
        <v>4</v>
      </c>
      <c r="AD180" s="3" t="s">
        <v>70</v>
      </c>
      <c r="AE180" s="3">
        <f>Results!$O$40</f>
        <v>3</v>
      </c>
      <c r="AF180" s="11">
        <v>1</v>
      </c>
      <c r="AG180" s="3">
        <f t="shared" si="346"/>
        <v>3</v>
      </c>
      <c r="AI180" s="3" t="s">
        <v>109</v>
      </c>
      <c r="AJ180" s="3">
        <f>Results!$O$25</f>
        <v>4</v>
      </c>
      <c r="AK180" s="11">
        <v>1</v>
      </c>
      <c r="AL180" s="3">
        <f t="shared" si="347"/>
        <v>4</v>
      </c>
      <c r="AM180" s="3" t="s">
        <v>110</v>
      </c>
      <c r="AN180" s="3">
        <f>Results!$O$30</f>
        <v>14</v>
      </c>
      <c r="AO180" s="11">
        <v>2</v>
      </c>
      <c r="AP180" s="3">
        <f t="shared" si="348"/>
        <v>28</v>
      </c>
      <c r="AQ180" s="3" t="s">
        <v>67</v>
      </c>
      <c r="AR180" s="3">
        <f>Results!$O$35</f>
        <v>4</v>
      </c>
      <c r="AS180" s="11"/>
      <c r="AT180" s="3">
        <f t="shared" si="349"/>
        <v>0</v>
      </c>
      <c r="AU180" s="3" t="s">
        <v>70</v>
      </c>
      <c r="AV180" s="3">
        <f>Results!$O$40</f>
        <v>3</v>
      </c>
      <c r="AW180" s="11">
        <v>1</v>
      </c>
      <c r="AX180" s="3">
        <f t="shared" si="350"/>
        <v>3</v>
      </c>
    </row>
    <row r="181" spans="1:50" ht="13.5" customHeight="1" x14ac:dyDescent="0.2">
      <c r="A181" s="24" t="s">
        <v>91</v>
      </c>
      <c r="B181" s="24">
        <f>Results!$O$26</f>
        <v>-2</v>
      </c>
      <c r="C181" s="25">
        <v>2</v>
      </c>
      <c r="D181" s="24">
        <f t="shared" si="339"/>
        <v>-4</v>
      </c>
      <c r="E181" s="24" t="s">
        <v>73</v>
      </c>
      <c r="F181" s="24">
        <f>Results!$O$31</f>
        <v>-4</v>
      </c>
      <c r="G181" s="25"/>
      <c r="H181" s="24">
        <f t="shared" si="340"/>
        <v>0</v>
      </c>
      <c r="I181" s="24" t="s">
        <v>112</v>
      </c>
      <c r="J181" s="24">
        <f>Results!$O$36</f>
        <v>5</v>
      </c>
      <c r="K181" s="25">
        <v>1</v>
      </c>
      <c r="L181" s="24">
        <f t="shared" si="341"/>
        <v>5</v>
      </c>
      <c r="M181" s="24" t="s">
        <v>84</v>
      </c>
      <c r="N181" s="24">
        <f>Results!$O$41</f>
        <v>4</v>
      </c>
      <c r="O181" s="25">
        <v>2</v>
      </c>
      <c r="P181" s="24">
        <f t="shared" si="342"/>
        <v>8</v>
      </c>
      <c r="R181" s="24" t="s">
        <v>91</v>
      </c>
      <c r="S181" s="24">
        <f>Results!$O$26</f>
        <v>-2</v>
      </c>
      <c r="T181" s="25">
        <v>2</v>
      </c>
      <c r="U181" s="24">
        <f t="shared" si="343"/>
        <v>-4</v>
      </c>
      <c r="V181" s="24" t="s">
        <v>73</v>
      </c>
      <c r="W181" s="24">
        <f>Results!$O$31</f>
        <v>-4</v>
      </c>
      <c r="X181" s="25"/>
      <c r="Y181" s="24">
        <f t="shared" si="344"/>
        <v>0</v>
      </c>
      <c r="Z181" s="24" t="s">
        <v>112</v>
      </c>
      <c r="AA181" s="24">
        <f>Results!$O$36</f>
        <v>5</v>
      </c>
      <c r="AB181" s="25"/>
      <c r="AC181" s="24">
        <f t="shared" si="345"/>
        <v>0</v>
      </c>
      <c r="AD181" s="24" t="s">
        <v>84</v>
      </c>
      <c r="AE181" s="24">
        <f>Results!$O$41</f>
        <v>4</v>
      </c>
      <c r="AF181" s="25">
        <v>2</v>
      </c>
      <c r="AG181" s="24">
        <f t="shared" si="346"/>
        <v>8</v>
      </c>
      <c r="AI181" s="24" t="s">
        <v>91</v>
      </c>
      <c r="AJ181" s="24">
        <f>Results!$O$26</f>
        <v>-2</v>
      </c>
      <c r="AK181" s="25">
        <v>2</v>
      </c>
      <c r="AL181" s="24">
        <f t="shared" si="347"/>
        <v>-4</v>
      </c>
      <c r="AM181" s="24" t="s">
        <v>73</v>
      </c>
      <c r="AN181" s="24">
        <f>Results!$O$31</f>
        <v>-4</v>
      </c>
      <c r="AO181" s="25">
        <v>1</v>
      </c>
      <c r="AP181" s="24">
        <f t="shared" si="348"/>
        <v>-4</v>
      </c>
      <c r="AQ181" s="24" t="s">
        <v>112</v>
      </c>
      <c r="AR181" s="24">
        <f>Results!$O$36</f>
        <v>5</v>
      </c>
      <c r="AS181" s="25">
        <v>1</v>
      </c>
      <c r="AT181" s="24">
        <f t="shared" si="349"/>
        <v>5</v>
      </c>
      <c r="AU181" s="24" t="s">
        <v>84</v>
      </c>
      <c r="AV181" s="24">
        <f>Results!$O$41</f>
        <v>4</v>
      </c>
      <c r="AW181" s="25">
        <v>2</v>
      </c>
      <c r="AX181" s="24">
        <f t="shared" si="350"/>
        <v>8</v>
      </c>
    </row>
    <row r="182" spans="1:50" ht="13.5" customHeight="1" x14ac:dyDescent="0.2">
      <c r="A182" s="14" t="s">
        <v>97</v>
      </c>
      <c r="B182" s="15" t="s">
        <v>51</v>
      </c>
      <c r="C182" s="16" t="s">
        <v>21</v>
      </c>
      <c r="D182" s="15" t="s">
        <v>49</v>
      </c>
      <c r="E182" s="15" t="s">
        <v>98</v>
      </c>
      <c r="F182" s="15" t="s">
        <v>51</v>
      </c>
      <c r="G182" s="16" t="s">
        <v>21</v>
      </c>
      <c r="H182" s="15" t="s">
        <v>49</v>
      </c>
      <c r="I182" s="15" t="s">
        <v>99</v>
      </c>
      <c r="J182" s="15" t="s">
        <v>51</v>
      </c>
      <c r="K182" s="16" t="s">
        <v>21</v>
      </c>
      <c r="L182" s="15" t="s">
        <v>49</v>
      </c>
      <c r="M182" s="15" t="s">
        <v>100</v>
      </c>
      <c r="N182" s="15" t="s">
        <v>51</v>
      </c>
      <c r="O182" s="16" t="s">
        <v>21</v>
      </c>
      <c r="P182" s="15" t="s">
        <v>49</v>
      </c>
      <c r="R182" s="14" t="s">
        <v>97</v>
      </c>
      <c r="S182" s="15" t="s">
        <v>51</v>
      </c>
      <c r="T182" s="16" t="s">
        <v>21</v>
      </c>
      <c r="U182" s="15" t="s">
        <v>49</v>
      </c>
      <c r="V182" s="15" t="s">
        <v>98</v>
      </c>
      <c r="W182" s="15" t="s">
        <v>51</v>
      </c>
      <c r="X182" s="16" t="s">
        <v>21</v>
      </c>
      <c r="Y182" s="15" t="s">
        <v>49</v>
      </c>
      <c r="Z182" s="15" t="s">
        <v>99</v>
      </c>
      <c r="AA182" s="15" t="s">
        <v>51</v>
      </c>
      <c r="AB182" s="16" t="s">
        <v>21</v>
      </c>
      <c r="AC182" s="15" t="s">
        <v>49</v>
      </c>
      <c r="AD182" s="15" t="s">
        <v>100</v>
      </c>
      <c r="AE182" s="15" t="s">
        <v>51</v>
      </c>
      <c r="AF182" s="16" t="s">
        <v>21</v>
      </c>
      <c r="AG182" s="15" t="s">
        <v>49</v>
      </c>
      <c r="AI182" s="14" t="s">
        <v>97</v>
      </c>
      <c r="AJ182" s="15" t="s">
        <v>51</v>
      </c>
      <c r="AK182" s="16" t="s">
        <v>21</v>
      </c>
      <c r="AL182" s="15" t="s">
        <v>49</v>
      </c>
      <c r="AM182" s="15" t="s">
        <v>98</v>
      </c>
      <c r="AN182" s="15" t="s">
        <v>51</v>
      </c>
      <c r="AO182" s="16" t="s">
        <v>21</v>
      </c>
      <c r="AP182" s="15" t="s">
        <v>49</v>
      </c>
      <c r="AQ182" s="15" t="s">
        <v>99</v>
      </c>
      <c r="AR182" s="15" t="s">
        <v>51</v>
      </c>
      <c r="AS182" s="16" t="s">
        <v>21</v>
      </c>
      <c r="AT182" s="15" t="s">
        <v>49</v>
      </c>
      <c r="AU182" s="15" t="s">
        <v>100</v>
      </c>
      <c r="AV182" s="15" t="s">
        <v>51</v>
      </c>
      <c r="AW182" s="16" t="s">
        <v>21</v>
      </c>
      <c r="AX182" s="15" t="s">
        <v>49</v>
      </c>
    </row>
    <row r="183" spans="1:50" ht="13.5" customHeight="1" x14ac:dyDescent="0.2">
      <c r="A183" s="3" t="s">
        <v>8</v>
      </c>
      <c r="B183" s="3">
        <f>Results!$O$43</f>
        <v>10</v>
      </c>
      <c r="C183" s="11">
        <v>3</v>
      </c>
      <c r="D183" s="3">
        <f t="shared" ref="D183:D186" si="351">B183*C183</f>
        <v>30</v>
      </c>
      <c r="E183" s="3" t="s">
        <v>69</v>
      </c>
      <c r="F183" s="3">
        <f>Results!$O$48</f>
        <v>11</v>
      </c>
      <c r="G183" s="11">
        <v>3</v>
      </c>
      <c r="H183" s="3">
        <f t="shared" ref="H183:H186" si="352">F183*G183</f>
        <v>33</v>
      </c>
      <c r="I183" s="3" t="s">
        <v>19</v>
      </c>
      <c r="J183" s="3">
        <f>Results!$O$53</f>
        <v>1</v>
      </c>
      <c r="K183" s="11">
        <v>3</v>
      </c>
      <c r="L183" s="3">
        <f t="shared" ref="L183:L186" si="353">J183*K183</f>
        <v>3</v>
      </c>
      <c r="M183" s="3" t="s">
        <v>10</v>
      </c>
      <c r="N183" s="3">
        <f>Results!$O$58</f>
        <v>11</v>
      </c>
      <c r="O183" s="11">
        <v>5</v>
      </c>
      <c r="P183" s="3">
        <f t="shared" ref="P183:P186" si="354">N183*O183</f>
        <v>55</v>
      </c>
      <c r="R183" s="3" t="s">
        <v>8</v>
      </c>
      <c r="S183" s="3">
        <f>Results!$O$43</f>
        <v>10</v>
      </c>
      <c r="T183" s="11">
        <v>5</v>
      </c>
      <c r="U183" s="3">
        <f t="shared" ref="U183:U186" si="355">S183*T183</f>
        <v>50</v>
      </c>
      <c r="V183" s="3" t="s">
        <v>69</v>
      </c>
      <c r="W183" s="3">
        <f>Results!$O$48</f>
        <v>11</v>
      </c>
      <c r="X183" s="11">
        <v>3</v>
      </c>
      <c r="Y183" s="3">
        <f t="shared" ref="Y183:Y186" si="356">W183*X183</f>
        <v>33</v>
      </c>
      <c r="Z183" s="3" t="s">
        <v>19</v>
      </c>
      <c r="AA183" s="3">
        <f>Results!$O$53</f>
        <v>1</v>
      </c>
      <c r="AB183" s="11">
        <v>3</v>
      </c>
      <c r="AC183" s="3">
        <f t="shared" ref="AC183:AC186" si="357">AA183*AB183</f>
        <v>3</v>
      </c>
      <c r="AD183" s="3" t="s">
        <v>10</v>
      </c>
      <c r="AE183" s="3">
        <f>Results!$O$58</f>
        <v>11</v>
      </c>
      <c r="AF183" s="11">
        <v>3</v>
      </c>
      <c r="AG183" s="3">
        <f t="shared" ref="AG183:AG186" si="358">AE183*AF183</f>
        <v>33</v>
      </c>
      <c r="AI183" s="3" t="s">
        <v>8</v>
      </c>
      <c r="AJ183" s="3">
        <f>Results!$O$43</f>
        <v>10</v>
      </c>
      <c r="AK183" s="11">
        <v>3</v>
      </c>
      <c r="AL183" s="3">
        <f t="shared" ref="AL183:AL186" si="359">AJ183*AK183</f>
        <v>30</v>
      </c>
      <c r="AM183" s="3" t="s">
        <v>69</v>
      </c>
      <c r="AN183" s="3">
        <f>Results!$O$48</f>
        <v>11</v>
      </c>
      <c r="AO183" s="11">
        <v>3</v>
      </c>
      <c r="AP183" s="3">
        <f t="shared" ref="AP183:AP186" si="360">AN183*AO183</f>
        <v>33</v>
      </c>
      <c r="AQ183" s="3" t="s">
        <v>19</v>
      </c>
      <c r="AR183" s="3">
        <f>Results!$O$53</f>
        <v>1</v>
      </c>
      <c r="AS183" s="11">
        <v>3</v>
      </c>
      <c r="AT183" s="3">
        <f t="shared" ref="AT183:AT186" si="361">AR183*AS183</f>
        <v>3</v>
      </c>
      <c r="AU183" s="3" t="s">
        <v>10</v>
      </c>
      <c r="AV183" s="3">
        <f>Results!$O$58</f>
        <v>11</v>
      </c>
      <c r="AW183" s="11">
        <v>3</v>
      </c>
      <c r="AX183" s="3">
        <f t="shared" ref="AX183:AX186" si="362">AV183*AW183</f>
        <v>33</v>
      </c>
    </row>
    <row r="184" spans="1:50" ht="13.5" customHeight="1" x14ac:dyDescent="0.2">
      <c r="A184" s="3" t="s">
        <v>66</v>
      </c>
      <c r="B184" s="3">
        <f>Results!$O$44</f>
        <v>-1</v>
      </c>
      <c r="C184" s="11">
        <v>1</v>
      </c>
      <c r="D184" s="3">
        <f t="shared" si="351"/>
        <v>-1</v>
      </c>
      <c r="E184" s="3" t="s">
        <v>116</v>
      </c>
      <c r="F184" s="3">
        <f>Results!$O$49</f>
        <v>-3</v>
      </c>
      <c r="G184" s="11">
        <v>1</v>
      </c>
      <c r="H184" s="3">
        <f t="shared" si="352"/>
        <v>-3</v>
      </c>
      <c r="I184" s="3" t="s">
        <v>119</v>
      </c>
      <c r="J184" s="3">
        <f>Results!$O$54</f>
        <v>3</v>
      </c>
      <c r="K184" s="11">
        <v>1</v>
      </c>
      <c r="L184" s="3">
        <f t="shared" si="353"/>
        <v>3</v>
      </c>
      <c r="M184" s="3" t="s">
        <v>16</v>
      </c>
      <c r="N184" s="3">
        <f>Results!$O$59</f>
        <v>0</v>
      </c>
      <c r="O184" s="11">
        <v>3</v>
      </c>
      <c r="P184" s="3">
        <f t="shared" si="354"/>
        <v>0</v>
      </c>
      <c r="R184" s="3" t="s">
        <v>66</v>
      </c>
      <c r="S184" s="3">
        <f>Results!$O$44</f>
        <v>-1</v>
      </c>
      <c r="T184" s="11">
        <v>2</v>
      </c>
      <c r="U184" s="3">
        <f t="shared" si="355"/>
        <v>-2</v>
      </c>
      <c r="V184" s="3" t="s">
        <v>116</v>
      </c>
      <c r="W184" s="3">
        <f>Results!$O$49</f>
        <v>-3</v>
      </c>
      <c r="X184" s="11">
        <v>1</v>
      </c>
      <c r="Y184" s="3">
        <f t="shared" si="356"/>
        <v>-3</v>
      </c>
      <c r="Z184" s="3" t="s">
        <v>119</v>
      </c>
      <c r="AA184" s="3">
        <f>Results!$O$54</f>
        <v>3</v>
      </c>
      <c r="AB184" s="11"/>
      <c r="AC184" s="3">
        <f t="shared" si="357"/>
        <v>0</v>
      </c>
      <c r="AD184" s="3" t="s">
        <v>16</v>
      </c>
      <c r="AE184" s="3">
        <f>Results!$O$59</f>
        <v>0</v>
      </c>
      <c r="AF184" s="11">
        <v>2</v>
      </c>
      <c r="AG184" s="3">
        <f t="shared" si="358"/>
        <v>0</v>
      </c>
      <c r="AI184" s="3" t="s">
        <v>66</v>
      </c>
      <c r="AJ184" s="3">
        <f>Results!$O$44</f>
        <v>-1</v>
      </c>
      <c r="AK184" s="11">
        <v>1</v>
      </c>
      <c r="AL184" s="3">
        <f t="shared" si="359"/>
        <v>-1</v>
      </c>
      <c r="AM184" s="3" t="s">
        <v>116</v>
      </c>
      <c r="AN184" s="3">
        <f>Results!$O$49</f>
        <v>-3</v>
      </c>
      <c r="AO184" s="11">
        <v>1</v>
      </c>
      <c r="AP184" s="3">
        <f t="shared" si="360"/>
        <v>-3</v>
      </c>
      <c r="AQ184" s="3" t="s">
        <v>119</v>
      </c>
      <c r="AR184" s="3">
        <f>Results!$O$54</f>
        <v>3</v>
      </c>
      <c r="AS184" s="11"/>
      <c r="AT184" s="3">
        <f t="shared" si="361"/>
        <v>0</v>
      </c>
      <c r="AU184" s="3" t="s">
        <v>16</v>
      </c>
      <c r="AV184" s="3">
        <f>Results!$O$59</f>
        <v>0</v>
      </c>
      <c r="AW184" s="11">
        <v>2</v>
      </c>
      <c r="AX184" s="3">
        <f t="shared" si="362"/>
        <v>0</v>
      </c>
    </row>
    <row r="185" spans="1:50" ht="13.5" customHeight="1" x14ac:dyDescent="0.2">
      <c r="A185" s="3" t="s">
        <v>114</v>
      </c>
      <c r="B185" s="3">
        <f>Results!$O$45</f>
        <v>-3</v>
      </c>
      <c r="C185" s="11"/>
      <c r="D185" s="3">
        <f t="shared" si="351"/>
        <v>0</v>
      </c>
      <c r="E185" s="3" t="s">
        <v>117</v>
      </c>
      <c r="F185" s="3">
        <f>Results!$O$50</f>
        <v>9</v>
      </c>
      <c r="G185" s="11">
        <v>2</v>
      </c>
      <c r="H185" s="3">
        <f t="shared" si="352"/>
        <v>18</v>
      </c>
      <c r="I185" s="3" t="s">
        <v>120</v>
      </c>
      <c r="J185" s="3">
        <f>Results!$O$55</f>
        <v>-2</v>
      </c>
      <c r="K185" s="11"/>
      <c r="L185" s="3">
        <f t="shared" si="353"/>
        <v>0</v>
      </c>
      <c r="M185" s="3" t="s">
        <v>83</v>
      </c>
      <c r="N185" s="3">
        <f>Results!$O$60</f>
        <v>6</v>
      </c>
      <c r="O185" s="11">
        <v>2</v>
      </c>
      <c r="P185" s="3">
        <f t="shared" si="354"/>
        <v>12</v>
      </c>
      <c r="R185" s="3" t="s">
        <v>114</v>
      </c>
      <c r="S185" s="3">
        <f>Results!$O$45</f>
        <v>-3</v>
      </c>
      <c r="T185" s="11">
        <v>1</v>
      </c>
      <c r="U185" s="3">
        <f t="shared" si="355"/>
        <v>-3</v>
      </c>
      <c r="V185" s="3" t="s">
        <v>117</v>
      </c>
      <c r="W185" s="3">
        <f>Results!$O$50</f>
        <v>9</v>
      </c>
      <c r="X185" s="11">
        <v>2</v>
      </c>
      <c r="Y185" s="3">
        <f t="shared" si="356"/>
        <v>18</v>
      </c>
      <c r="Z185" s="3" t="s">
        <v>120</v>
      </c>
      <c r="AA185" s="3">
        <f>Results!$O$55</f>
        <v>-2</v>
      </c>
      <c r="AB185" s="11">
        <v>1</v>
      </c>
      <c r="AC185" s="3">
        <f t="shared" si="357"/>
        <v>-2</v>
      </c>
      <c r="AD185" s="3" t="s">
        <v>83</v>
      </c>
      <c r="AE185" s="3">
        <f>Results!$O$60</f>
        <v>6</v>
      </c>
      <c r="AF185" s="11">
        <v>1</v>
      </c>
      <c r="AG185" s="3">
        <f t="shared" si="358"/>
        <v>6</v>
      </c>
      <c r="AI185" s="3" t="s">
        <v>114</v>
      </c>
      <c r="AJ185" s="3">
        <f>Results!$O$45</f>
        <v>-3</v>
      </c>
      <c r="AK185" s="11"/>
      <c r="AL185" s="3">
        <f t="shared" si="359"/>
        <v>0</v>
      </c>
      <c r="AM185" s="3" t="s">
        <v>117</v>
      </c>
      <c r="AN185" s="3">
        <f>Results!$O$50</f>
        <v>9</v>
      </c>
      <c r="AO185" s="11">
        <v>2</v>
      </c>
      <c r="AP185" s="3">
        <f t="shared" si="360"/>
        <v>18</v>
      </c>
      <c r="AQ185" s="3" t="s">
        <v>120</v>
      </c>
      <c r="AR185" s="3">
        <f>Results!$O$55</f>
        <v>-2</v>
      </c>
      <c r="AS185" s="11">
        <v>1</v>
      </c>
      <c r="AT185" s="3">
        <f t="shared" si="361"/>
        <v>-2</v>
      </c>
      <c r="AU185" s="3" t="s">
        <v>83</v>
      </c>
      <c r="AV185" s="3">
        <f>Results!$O$60</f>
        <v>6</v>
      </c>
      <c r="AW185" s="11">
        <v>1</v>
      </c>
      <c r="AX185" s="3">
        <f t="shared" si="362"/>
        <v>6</v>
      </c>
    </row>
    <row r="186" spans="1:50" ht="13.5" customHeight="1" thickBot="1" x14ac:dyDescent="0.25">
      <c r="A186" s="19" t="s">
        <v>115</v>
      </c>
      <c r="B186" s="19">
        <f>Results!$O$46</f>
        <v>12</v>
      </c>
      <c r="C186" s="20">
        <v>2</v>
      </c>
      <c r="D186" s="19">
        <f t="shared" si="351"/>
        <v>24</v>
      </c>
      <c r="E186" s="19" t="s">
        <v>118</v>
      </c>
      <c r="F186" s="19">
        <f>Results!$O$51</f>
        <v>-1</v>
      </c>
      <c r="G186" s="20"/>
      <c r="H186" s="19">
        <f t="shared" si="352"/>
        <v>0</v>
      </c>
      <c r="I186" s="19" t="s">
        <v>121</v>
      </c>
      <c r="J186" s="19">
        <f>Results!$O$56</f>
        <v>9</v>
      </c>
      <c r="K186" s="20">
        <v>2</v>
      </c>
      <c r="L186" s="19">
        <f t="shared" si="353"/>
        <v>18</v>
      </c>
      <c r="M186" s="19" t="s">
        <v>122</v>
      </c>
      <c r="N186" s="19">
        <f>Results!$O$61</f>
        <v>-3</v>
      </c>
      <c r="O186" s="20">
        <v>1</v>
      </c>
      <c r="P186" s="19">
        <f t="shared" si="354"/>
        <v>-3</v>
      </c>
      <c r="R186" s="19" t="s">
        <v>115</v>
      </c>
      <c r="S186" s="19">
        <f>Results!$O$46</f>
        <v>12</v>
      </c>
      <c r="T186" s="20">
        <v>3</v>
      </c>
      <c r="U186" s="19">
        <f t="shared" si="355"/>
        <v>36</v>
      </c>
      <c r="V186" s="19" t="s">
        <v>118</v>
      </c>
      <c r="W186" s="19">
        <f>Results!$O$51</f>
        <v>-1</v>
      </c>
      <c r="X186" s="20"/>
      <c r="Y186" s="19">
        <f t="shared" si="356"/>
        <v>0</v>
      </c>
      <c r="Z186" s="19" t="s">
        <v>121</v>
      </c>
      <c r="AA186" s="19">
        <f>Results!$O$56</f>
        <v>9</v>
      </c>
      <c r="AB186" s="20">
        <v>2</v>
      </c>
      <c r="AC186" s="19">
        <f t="shared" si="357"/>
        <v>18</v>
      </c>
      <c r="AD186" s="19" t="s">
        <v>122</v>
      </c>
      <c r="AE186" s="19">
        <f>Results!$O$61</f>
        <v>-3</v>
      </c>
      <c r="AF186" s="20"/>
      <c r="AG186" s="19">
        <f t="shared" si="358"/>
        <v>0</v>
      </c>
      <c r="AI186" s="19" t="s">
        <v>115</v>
      </c>
      <c r="AJ186" s="19">
        <f>Results!$O$46</f>
        <v>12</v>
      </c>
      <c r="AK186" s="20">
        <v>2</v>
      </c>
      <c r="AL186" s="19">
        <f t="shared" si="359"/>
        <v>24</v>
      </c>
      <c r="AM186" s="19" t="s">
        <v>118</v>
      </c>
      <c r="AN186" s="19">
        <f>Results!$O$51</f>
        <v>-1</v>
      </c>
      <c r="AO186" s="20"/>
      <c r="AP186" s="19">
        <f t="shared" si="360"/>
        <v>0</v>
      </c>
      <c r="AQ186" s="19" t="s">
        <v>121</v>
      </c>
      <c r="AR186" s="19">
        <f>Results!$O$56</f>
        <v>9</v>
      </c>
      <c r="AS186" s="20">
        <v>2</v>
      </c>
      <c r="AT186" s="19">
        <f t="shared" si="361"/>
        <v>18</v>
      </c>
      <c r="AU186" s="19" t="s">
        <v>122</v>
      </c>
      <c r="AV186" s="19">
        <f>Results!$O$61</f>
        <v>-3</v>
      </c>
      <c r="AW186" s="20"/>
      <c r="AX186" s="19">
        <f t="shared" si="362"/>
        <v>0</v>
      </c>
    </row>
    <row r="187" spans="1:50" s="27" customFormat="1" ht="13.5" customHeight="1" thickBot="1" x14ac:dyDescent="0.25">
      <c r="A187" s="35"/>
      <c r="B187" s="36"/>
      <c r="C187" s="37"/>
      <c r="D187" s="36"/>
      <c r="E187" s="36"/>
      <c r="F187" s="36"/>
      <c r="G187" s="37"/>
      <c r="H187" s="36"/>
      <c r="I187" s="36"/>
      <c r="J187" s="36"/>
      <c r="K187" s="37"/>
      <c r="L187" s="36"/>
      <c r="M187" s="36"/>
      <c r="N187" s="36"/>
      <c r="O187" s="37"/>
      <c r="P187" s="38"/>
      <c r="R187" s="35"/>
      <c r="S187" s="36"/>
      <c r="T187" s="37"/>
      <c r="U187" s="36"/>
      <c r="V187" s="36"/>
      <c r="W187" s="36"/>
      <c r="X187" s="37"/>
      <c r="Y187" s="36"/>
      <c r="Z187" s="36"/>
      <c r="AA187" s="36"/>
      <c r="AB187" s="37"/>
      <c r="AC187" s="36"/>
      <c r="AD187" s="36"/>
      <c r="AE187" s="36"/>
      <c r="AF187" s="37"/>
      <c r="AG187" s="38"/>
      <c r="AI187" s="35"/>
      <c r="AJ187" s="36"/>
      <c r="AK187" s="37"/>
      <c r="AL187" s="36"/>
      <c r="AM187" s="36"/>
      <c r="AN187" s="36"/>
      <c r="AO187" s="37"/>
      <c r="AP187" s="36"/>
      <c r="AQ187" s="36"/>
      <c r="AR187" s="36"/>
      <c r="AS187" s="37"/>
      <c r="AT187" s="36"/>
      <c r="AU187" s="36"/>
      <c r="AV187" s="36"/>
      <c r="AW187" s="37"/>
      <c r="AX187" s="38"/>
    </row>
    <row r="188" spans="1:50" ht="13.5" customHeight="1" x14ac:dyDescent="0.2">
      <c r="A188" s="12" t="s">
        <v>0</v>
      </c>
      <c r="B188" s="59" t="s">
        <v>61</v>
      </c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13" t="s">
        <v>50</v>
      </c>
      <c r="N188" s="61">
        <f>SUM(D190:D193,D195:D198,H190:H193, H195:H198,L190:L193,L195:L198,P190:P193,P195:P198,D200:D203,H200:H203,L200:L203,P200:P203)</f>
        <v>369</v>
      </c>
      <c r="O188" s="60"/>
      <c r="P188" s="62"/>
      <c r="R188" s="12" t="s">
        <v>0</v>
      </c>
      <c r="S188" s="59" t="s">
        <v>142</v>
      </c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13" t="s">
        <v>50</v>
      </c>
      <c r="AE188" s="61">
        <f>SUM(U190:U193,U195:U198,Y190:Y193, Y195:Y198,AC190:AC193,AC195:AC198,AG190:AG193,AG195:AG198,U200:U203,Y200:Y203,AC200:AC203,AG200:AG203)</f>
        <v>372</v>
      </c>
      <c r="AF188" s="60"/>
      <c r="AG188" s="62"/>
      <c r="AI188" s="12" t="s">
        <v>0</v>
      </c>
      <c r="AJ188" s="59" t="s">
        <v>62</v>
      </c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13" t="s">
        <v>50</v>
      </c>
      <c r="AV188" s="61">
        <f>SUM(AL190:AL193,AL195:AL198,AP190:AP193, AP195:AP198,AT190:AT193,AT195:AT198,AX190:AX193,AX195:AX198,AL200:AL203,AP200:AP203,AT200:AT203,AX200:AX203)</f>
        <v>398</v>
      </c>
      <c r="AW188" s="60"/>
      <c r="AX188" s="62"/>
    </row>
    <row r="189" spans="1:50" ht="13.5" customHeight="1" x14ac:dyDescent="0.2">
      <c r="A189" s="14" t="s">
        <v>3</v>
      </c>
      <c r="B189" s="15" t="s">
        <v>51</v>
      </c>
      <c r="C189" s="16" t="s">
        <v>21</v>
      </c>
      <c r="D189" s="15" t="s">
        <v>49</v>
      </c>
      <c r="E189" s="15" t="s">
        <v>6</v>
      </c>
      <c r="F189" s="15" t="s">
        <v>51</v>
      </c>
      <c r="G189" s="16" t="s">
        <v>21</v>
      </c>
      <c r="H189" s="15" t="s">
        <v>49</v>
      </c>
      <c r="I189" s="15" t="s">
        <v>7</v>
      </c>
      <c r="J189" s="15" t="s">
        <v>51</v>
      </c>
      <c r="K189" s="16" t="s">
        <v>21</v>
      </c>
      <c r="L189" s="15" t="s">
        <v>49</v>
      </c>
      <c r="M189" s="15" t="s">
        <v>13</v>
      </c>
      <c r="N189" s="15" t="s">
        <v>51</v>
      </c>
      <c r="O189" s="16" t="s">
        <v>21</v>
      </c>
      <c r="P189" s="17" t="s">
        <v>49</v>
      </c>
      <c r="R189" s="14" t="s">
        <v>3</v>
      </c>
      <c r="S189" s="15" t="s">
        <v>51</v>
      </c>
      <c r="T189" s="16" t="s">
        <v>21</v>
      </c>
      <c r="U189" s="15" t="s">
        <v>49</v>
      </c>
      <c r="V189" s="15" t="s">
        <v>6</v>
      </c>
      <c r="W189" s="15" t="s">
        <v>51</v>
      </c>
      <c r="X189" s="16" t="s">
        <v>21</v>
      </c>
      <c r="Y189" s="15" t="s">
        <v>49</v>
      </c>
      <c r="Z189" s="15" t="s">
        <v>7</v>
      </c>
      <c r="AA189" s="15" t="s">
        <v>51</v>
      </c>
      <c r="AB189" s="16" t="s">
        <v>21</v>
      </c>
      <c r="AC189" s="15" t="s">
        <v>49</v>
      </c>
      <c r="AD189" s="15" t="s">
        <v>13</v>
      </c>
      <c r="AE189" s="15" t="s">
        <v>51</v>
      </c>
      <c r="AF189" s="16" t="s">
        <v>21</v>
      </c>
      <c r="AG189" s="17" t="s">
        <v>49</v>
      </c>
      <c r="AI189" s="14" t="s">
        <v>3</v>
      </c>
      <c r="AJ189" s="15" t="s">
        <v>51</v>
      </c>
      <c r="AK189" s="16" t="s">
        <v>21</v>
      </c>
      <c r="AL189" s="15" t="s">
        <v>49</v>
      </c>
      <c r="AM189" s="15" t="s">
        <v>6</v>
      </c>
      <c r="AN189" s="15" t="s">
        <v>51</v>
      </c>
      <c r="AO189" s="16" t="s">
        <v>21</v>
      </c>
      <c r="AP189" s="15" t="s">
        <v>49</v>
      </c>
      <c r="AQ189" s="15" t="s">
        <v>7</v>
      </c>
      <c r="AR189" s="15" t="s">
        <v>51</v>
      </c>
      <c r="AS189" s="16" t="s">
        <v>21</v>
      </c>
      <c r="AT189" s="15" t="s">
        <v>49</v>
      </c>
      <c r="AU189" s="15" t="s">
        <v>13</v>
      </c>
      <c r="AV189" s="15" t="s">
        <v>51</v>
      </c>
      <c r="AW189" s="16" t="s">
        <v>21</v>
      </c>
      <c r="AX189" s="17" t="s">
        <v>49</v>
      </c>
    </row>
    <row r="190" spans="1:50" ht="13.5" customHeight="1" x14ac:dyDescent="0.2">
      <c r="A190" s="3" t="s">
        <v>71</v>
      </c>
      <c r="B190" s="3">
        <f>Results!$O$3</f>
        <v>3</v>
      </c>
      <c r="C190" s="11">
        <v>3</v>
      </c>
      <c r="D190" s="3">
        <f t="shared" ref="D190:D193" si="363">B190*C190</f>
        <v>9</v>
      </c>
      <c r="E190" s="3" t="s">
        <v>76</v>
      </c>
      <c r="F190" s="3">
        <f>Results!$O$8</f>
        <v>2</v>
      </c>
      <c r="G190" s="11">
        <v>2</v>
      </c>
      <c r="H190" s="3">
        <f t="shared" ref="H190:H193" si="364">F190*G190</f>
        <v>4</v>
      </c>
      <c r="I190" s="3" t="s">
        <v>80</v>
      </c>
      <c r="J190" s="3">
        <f>Results!$O$13</f>
        <v>2</v>
      </c>
      <c r="K190" s="11">
        <v>3</v>
      </c>
      <c r="L190" s="3">
        <f t="shared" ref="L190:L193" si="365">J190*K190</f>
        <v>6</v>
      </c>
      <c r="M190" s="3" t="s">
        <v>68</v>
      </c>
      <c r="N190" s="3">
        <f>Results!$O$18</f>
        <v>11</v>
      </c>
      <c r="O190" s="11">
        <v>3</v>
      </c>
      <c r="P190" s="18">
        <f>N190*O190</f>
        <v>33</v>
      </c>
      <c r="R190" s="3" t="s">
        <v>71</v>
      </c>
      <c r="S190" s="3">
        <f>Results!$O$3</f>
        <v>3</v>
      </c>
      <c r="T190" s="11">
        <v>3</v>
      </c>
      <c r="U190" s="3">
        <f t="shared" ref="U190:U193" si="366">S190*T190</f>
        <v>9</v>
      </c>
      <c r="V190" s="3" t="s">
        <v>76</v>
      </c>
      <c r="W190" s="3">
        <f>Results!$O$8</f>
        <v>2</v>
      </c>
      <c r="X190" s="11">
        <v>2</v>
      </c>
      <c r="Y190" s="3">
        <f t="shared" ref="Y190:Y193" si="367">W190*X190</f>
        <v>4</v>
      </c>
      <c r="Z190" s="3" t="s">
        <v>80</v>
      </c>
      <c r="AA190" s="3">
        <f>Results!$O$13</f>
        <v>2</v>
      </c>
      <c r="AB190" s="11">
        <v>3</v>
      </c>
      <c r="AC190" s="3">
        <f t="shared" ref="AC190:AC193" si="368">AA190*AB190</f>
        <v>6</v>
      </c>
      <c r="AD190" s="3" t="s">
        <v>68</v>
      </c>
      <c r="AE190" s="3">
        <f>Results!$O$18</f>
        <v>11</v>
      </c>
      <c r="AF190" s="11">
        <v>2</v>
      </c>
      <c r="AG190" s="18">
        <f>AE190*AF190</f>
        <v>22</v>
      </c>
      <c r="AI190" s="3" t="s">
        <v>71</v>
      </c>
      <c r="AJ190" s="3">
        <f>Results!$O$3</f>
        <v>3</v>
      </c>
      <c r="AK190" s="11">
        <v>3</v>
      </c>
      <c r="AL190" s="3">
        <f t="shared" ref="AL190:AL193" si="369">AJ190*AK190</f>
        <v>9</v>
      </c>
      <c r="AM190" s="3" t="s">
        <v>76</v>
      </c>
      <c r="AN190" s="3">
        <f>Results!$O$8</f>
        <v>2</v>
      </c>
      <c r="AO190" s="11">
        <v>1</v>
      </c>
      <c r="AP190" s="3">
        <f t="shared" ref="AP190:AP193" si="370">AN190*AO190</f>
        <v>2</v>
      </c>
      <c r="AQ190" s="3" t="s">
        <v>80</v>
      </c>
      <c r="AR190" s="3">
        <f>Results!$O$13</f>
        <v>2</v>
      </c>
      <c r="AS190" s="11">
        <v>3</v>
      </c>
      <c r="AT190" s="3">
        <f t="shared" ref="AT190:AT193" si="371">AR190*AS190</f>
        <v>6</v>
      </c>
      <c r="AU190" s="3" t="s">
        <v>68</v>
      </c>
      <c r="AV190" s="3">
        <f>Results!$O$18</f>
        <v>11</v>
      </c>
      <c r="AW190" s="11">
        <v>3</v>
      </c>
      <c r="AX190" s="18">
        <f>AV190*AW190</f>
        <v>33</v>
      </c>
    </row>
    <row r="191" spans="1:50" ht="13.5" customHeight="1" x14ac:dyDescent="0.2">
      <c r="A191" s="3" t="s">
        <v>123</v>
      </c>
      <c r="B191" s="3">
        <f>Results!$O$4</f>
        <v>-14</v>
      </c>
      <c r="C191" s="11"/>
      <c r="D191" s="3">
        <f t="shared" si="363"/>
        <v>0</v>
      </c>
      <c r="E191" s="3" t="s">
        <v>103</v>
      </c>
      <c r="F191" s="3">
        <f>Results!$O$9</f>
        <v>1</v>
      </c>
      <c r="G191" s="11"/>
      <c r="H191" s="3">
        <f t="shared" si="364"/>
        <v>0</v>
      </c>
      <c r="I191" s="3" t="s">
        <v>77</v>
      </c>
      <c r="J191" s="3">
        <f>Results!$O$14</f>
        <v>4</v>
      </c>
      <c r="K191" s="11">
        <v>2</v>
      </c>
      <c r="L191" s="3">
        <f t="shared" si="365"/>
        <v>8</v>
      </c>
      <c r="M191" s="3" t="s">
        <v>106</v>
      </c>
      <c r="N191" s="3">
        <f>Results!$O$19</f>
        <v>-7</v>
      </c>
      <c r="O191" s="11">
        <v>1</v>
      </c>
      <c r="P191" s="18">
        <f>N191*O191</f>
        <v>-7</v>
      </c>
      <c r="R191" s="3" t="s">
        <v>123</v>
      </c>
      <c r="S191" s="3">
        <f>Results!$O$4</f>
        <v>-14</v>
      </c>
      <c r="T191" s="11"/>
      <c r="U191" s="3">
        <f t="shared" si="366"/>
        <v>0</v>
      </c>
      <c r="V191" s="3" t="s">
        <v>103</v>
      </c>
      <c r="W191" s="3">
        <f>Results!$O$9</f>
        <v>1</v>
      </c>
      <c r="X191" s="11"/>
      <c r="Y191" s="3">
        <f t="shared" si="367"/>
        <v>0</v>
      </c>
      <c r="Z191" s="3" t="s">
        <v>77</v>
      </c>
      <c r="AA191" s="3">
        <f>Results!$O$14</f>
        <v>4</v>
      </c>
      <c r="AB191" s="11">
        <v>1</v>
      </c>
      <c r="AC191" s="3">
        <f t="shared" si="368"/>
        <v>4</v>
      </c>
      <c r="AD191" s="3" t="s">
        <v>106</v>
      </c>
      <c r="AE191" s="3">
        <f>Results!$O$19</f>
        <v>-7</v>
      </c>
      <c r="AF191" s="11"/>
      <c r="AG191" s="18">
        <f>AE191*AF191</f>
        <v>0</v>
      </c>
      <c r="AI191" s="3" t="s">
        <v>123</v>
      </c>
      <c r="AJ191" s="3">
        <f>Results!$O$4</f>
        <v>-14</v>
      </c>
      <c r="AK191" s="11"/>
      <c r="AL191" s="3">
        <f t="shared" si="369"/>
        <v>0</v>
      </c>
      <c r="AM191" s="3" t="s">
        <v>103</v>
      </c>
      <c r="AN191" s="3">
        <f>Results!$O$9</f>
        <v>1</v>
      </c>
      <c r="AO191" s="11">
        <v>2</v>
      </c>
      <c r="AP191" s="3">
        <f t="shared" si="370"/>
        <v>2</v>
      </c>
      <c r="AQ191" s="3" t="s">
        <v>77</v>
      </c>
      <c r="AR191" s="3">
        <f>Results!$O$14</f>
        <v>4</v>
      </c>
      <c r="AS191" s="11">
        <v>2</v>
      </c>
      <c r="AT191" s="3">
        <f t="shared" si="371"/>
        <v>8</v>
      </c>
      <c r="AU191" s="3" t="s">
        <v>106</v>
      </c>
      <c r="AV191" s="3">
        <f>Results!$O$19</f>
        <v>-7</v>
      </c>
      <c r="AW191" s="11">
        <v>2</v>
      </c>
      <c r="AX191" s="18">
        <f>AV191*AW191</f>
        <v>-14</v>
      </c>
    </row>
    <row r="192" spans="1:50" ht="13.5" customHeight="1" x14ac:dyDescent="0.2">
      <c r="A192" s="3" t="s">
        <v>124</v>
      </c>
      <c r="B192" s="3">
        <f>Results!$O$5</f>
        <v>7</v>
      </c>
      <c r="C192" s="11">
        <v>1</v>
      </c>
      <c r="D192" s="3">
        <f t="shared" si="363"/>
        <v>7</v>
      </c>
      <c r="E192" s="3" t="s">
        <v>65</v>
      </c>
      <c r="F192" s="3">
        <f>Results!$O$10</f>
        <v>2</v>
      </c>
      <c r="G192" s="11">
        <v>1</v>
      </c>
      <c r="H192" s="3">
        <f t="shared" si="364"/>
        <v>2</v>
      </c>
      <c r="I192" s="3" t="s">
        <v>104</v>
      </c>
      <c r="J192" s="3">
        <f>Results!$O$15</f>
        <v>-2</v>
      </c>
      <c r="K192" s="11">
        <v>1</v>
      </c>
      <c r="L192" s="3">
        <f t="shared" si="365"/>
        <v>-2</v>
      </c>
      <c r="M192" s="3" t="s">
        <v>72</v>
      </c>
      <c r="N192" s="3">
        <f>Results!$O$20</f>
        <v>9</v>
      </c>
      <c r="O192" s="11">
        <v>2</v>
      </c>
      <c r="P192" s="18">
        <f>N192*O192</f>
        <v>18</v>
      </c>
      <c r="R192" s="3" t="s">
        <v>124</v>
      </c>
      <c r="S192" s="3">
        <f>Results!$O$5</f>
        <v>7</v>
      </c>
      <c r="T192" s="11">
        <v>1</v>
      </c>
      <c r="U192" s="3">
        <f t="shared" si="366"/>
        <v>7</v>
      </c>
      <c r="V192" s="3" t="s">
        <v>65</v>
      </c>
      <c r="W192" s="3">
        <f>Results!$O$10</f>
        <v>2</v>
      </c>
      <c r="X192" s="11">
        <v>1</v>
      </c>
      <c r="Y192" s="3">
        <f t="shared" si="367"/>
        <v>2</v>
      </c>
      <c r="Z192" s="3" t="s">
        <v>104</v>
      </c>
      <c r="AA192" s="3">
        <f>Results!$O$15</f>
        <v>-2</v>
      </c>
      <c r="AB192" s="11"/>
      <c r="AC192" s="3">
        <f t="shared" si="368"/>
        <v>0</v>
      </c>
      <c r="AD192" s="3" t="s">
        <v>72</v>
      </c>
      <c r="AE192" s="3">
        <f>Results!$O$20</f>
        <v>9</v>
      </c>
      <c r="AF192" s="11">
        <v>1</v>
      </c>
      <c r="AG192" s="18">
        <f>AE192*AF192</f>
        <v>9</v>
      </c>
      <c r="AI192" s="3" t="s">
        <v>124</v>
      </c>
      <c r="AJ192" s="3">
        <f>Results!$O$5</f>
        <v>7</v>
      </c>
      <c r="AK192" s="11">
        <v>1</v>
      </c>
      <c r="AL192" s="3">
        <f t="shared" si="369"/>
        <v>7</v>
      </c>
      <c r="AM192" s="3" t="s">
        <v>65</v>
      </c>
      <c r="AN192" s="3">
        <f>Results!$O$10</f>
        <v>2</v>
      </c>
      <c r="AO192" s="11"/>
      <c r="AP192" s="3">
        <f t="shared" si="370"/>
        <v>0</v>
      </c>
      <c r="AQ192" s="3" t="s">
        <v>104</v>
      </c>
      <c r="AR192" s="3">
        <f>Results!$O$15</f>
        <v>-2</v>
      </c>
      <c r="AS192" s="11"/>
      <c r="AT192" s="3">
        <f t="shared" si="371"/>
        <v>0</v>
      </c>
      <c r="AU192" s="3" t="s">
        <v>72</v>
      </c>
      <c r="AV192" s="3">
        <f>Results!$O$20</f>
        <v>9</v>
      </c>
      <c r="AW192" s="11">
        <v>1</v>
      </c>
      <c r="AX192" s="18">
        <f>AV192*AW192</f>
        <v>9</v>
      </c>
    </row>
    <row r="193" spans="1:50" ht="13.5" customHeight="1" x14ac:dyDescent="0.2">
      <c r="A193" s="3" t="s">
        <v>102</v>
      </c>
      <c r="B193" s="3">
        <f>Results!$O$6</f>
        <v>0</v>
      </c>
      <c r="C193" s="11">
        <v>2</v>
      </c>
      <c r="D193" s="3">
        <f t="shared" si="363"/>
        <v>0</v>
      </c>
      <c r="E193" s="3" t="s">
        <v>12</v>
      </c>
      <c r="F193" s="3">
        <f>Results!$O$11</f>
        <v>3</v>
      </c>
      <c r="G193" s="11">
        <v>3</v>
      </c>
      <c r="H193" s="3">
        <f t="shared" si="364"/>
        <v>9</v>
      </c>
      <c r="I193" s="3" t="s">
        <v>105</v>
      </c>
      <c r="J193" s="3">
        <f>Results!$O$16</f>
        <v>4</v>
      </c>
      <c r="K193" s="11"/>
      <c r="L193" s="3">
        <f t="shared" si="365"/>
        <v>0</v>
      </c>
      <c r="M193" s="3" t="s">
        <v>107</v>
      </c>
      <c r="N193" s="3">
        <f>Results!$O$21</f>
        <v>-3</v>
      </c>
      <c r="O193" s="11"/>
      <c r="P193" s="18">
        <f>N193*O193</f>
        <v>0</v>
      </c>
      <c r="R193" s="3" t="s">
        <v>102</v>
      </c>
      <c r="S193" s="3">
        <f>Results!$O$6</f>
        <v>0</v>
      </c>
      <c r="T193" s="11">
        <v>2</v>
      </c>
      <c r="U193" s="3">
        <f t="shared" si="366"/>
        <v>0</v>
      </c>
      <c r="V193" s="3" t="s">
        <v>12</v>
      </c>
      <c r="W193" s="3">
        <f>Results!$O$11</f>
        <v>3</v>
      </c>
      <c r="X193" s="11">
        <v>3</v>
      </c>
      <c r="Y193" s="3">
        <f t="shared" si="367"/>
        <v>9</v>
      </c>
      <c r="Z193" s="3" t="s">
        <v>105</v>
      </c>
      <c r="AA193" s="3">
        <f>Results!$O$16</f>
        <v>4</v>
      </c>
      <c r="AB193" s="11">
        <v>2</v>
      </c>
      <c r="AC193" s="3">
        <f t="shared" si="368"/>
        <v>8</v>
      </c>
      <c r="AD193" s="3" t="s">
        <v>107</v>
      </c>
      <c r="AE193" s="3">
        <f>Results!$O$21</f>
        <v>-3</v>
      </c>
      <c r="AF193" s="11">
        <v>3</v>
      </c>
      <c r="AG193" s="18">
        <f>AE193*AF193</f>
        <v>-9</v>
      </c>
      <c r="AI193" s="3" t="s">
        <v>102</v>
      </c>
      <c r="AJ193" s="3">
        <f>Results!$O$6</f>
        <v>0</v>
      </c>
      <c r="AK193" s="11">
        <v>2</v>
      </c>
      <c r="AL193" s="3">
        <f t="shared" si="369"/>
        <v>0</v>
      </c>
      <c r="AM193" s="3" t="s">
        <v>12</v>
      </c>
      <c r="AN193" s="3">
        <f>Results!$O$11</f>
        <v>3</v>
      </c>
      <c r="AO193" s="11">
        <v>3</v>
      </c>
      <c r="AP193" s="3">
        <f t="shared" si="370"/>
        <v>9</v>
      </c>
      <c r="AQ193" s="3" t="s">
        <v>105</v>
      </c>
      <c r="AR193" s="3">
        <f>Results!$O$16</f>
        <v>4</v>
      </c>
      <c r="AS193" s="11">
        <v>1</v>
      </c>
      <c r="AT193" s="3">
        <f t="shared" si="371"/>
        <v>4</v>
      </c>
      <c r="AU193" s="3" t="s">
        <v>107</v>
      </c>
      <c r="AV193" s="3">
        <f>Results!$O$21</f>
        <v>-3</v>
      </c>
      <c r="AW193" s="11"/>
      <c r="AX193" s="18">
        <f>AV193*AW193</f>
        <v>0</v>
      </c>
    </row>
    <row r="194" spans="1:50" ht="13.5" customHeight="1" x14ac:dyDescent="0.2">
      <c r="A194" s="14" t="s">
        <v>14</v>
      </c>
      <c r="B194" s="15" t="s">
        <v>51</v>
      </c>
      <c r="C194" s="16" t="s">
        <v>21</v>
      </c>
      <c r="D194" s="15" t="s">
        <v>49</v>
      </c>
      <c r="E194" s="15" t="s">
        <v>15</v>
      </c>
      <c r="F194" s="15" t="s">
        <v>51</v>
      </c>
      <c r="G194" s="16" t="s">
        <v>21</v>
      </c>
      <c r="H194" s="15" t="s">
        <v>49</v>
      </c>
      <c r="I194" s="15" t="s">
        <v>78</v>
      </c>
      <c r="J194" s="15" t="s">
        <v>51</v>
      </c>
      <c r="K194" s="16" t="s">
        <v>21</v>
      </c>
      <c r="L194" s="15" t="s">
        <v>49</v>
      </c>
      <c r="M194" s="15" t="s">
        <v>79</v>
      </c>
      <c r="N194" s="15" t="s">
        <v>51</v>
      </c>
      <c r="O194" s="16" t="s">
        <v>21</v>
      </c>
      <c r="P194" s="15" t="s">
        <v>49</v>
      </c>
      <c r="R194" s="14" t="s">
        <v>14</v>
      </c>
      <c r="S194" s="15" t="s">
        <v>51</v>
      </c>
      <c r="T194" s="16" t="s">
        <v>21</v>
      </c>
      <c r="U194" s="15" t="s">
        <v>49</v>
      </c>
      <c r="V194" s="15" t="s">
        <v>15</v>
      </c>
      <c r="W194" s="15" t="s">
        <v>51</v>
      </c>
      <c r="X194" s="16" t="s">
        <v>21</v>
      </c>
      <c r="Y194" s="15" t="s">
        <v>49</v>
      </c>
      <c r="Z194" s="15" t="s">
        <v>78</v>
      </c>
      <c r="AA194" s="15" t="s">
        <v>51</v>
      </c>
      <c r="AB194" s="16" t="s">
        <v>21</v>
      </c>
      <c r="AC194" s="15" t="s">
        <v>49</v>
      </c>
      <c r="AD194" s="15" t="s">
        <v>79</v>
      </c>
      <c r="AE194" s="15" t="s">
        <v>51</v>
      </c>
      <c r="AF194" s="16" t="s">
        <v>21</v>
      </c>
      <c r="AG194" s="15" t="s">
        <v>49</v>
      </c>
      <c r="AI194" s="14" t="s">
        <v>14</v>
      </c>
      <c r="AJ194" s="15" t="s">
        <v>51</v>
      </c>
      <c r="AK194" s="16" t="s">
        <v>21</v>
      </c>
      <c r="AL194" s="15" t="s">
        <v>49</v>
      </c>
      <c r="AM194" s="15" t="s">
        <v>15</v>
      </c>
      <c r="AN194" s="15" t="s">
        <v>51</v>
      </c>
      <c r="AO194" s="16" t="s">
        <v>21</v>
      </c>
      <c r="AP194" s="15" t="s">
        <v>49</v>
      </c>
      <c r="AQ194" s="15" t="s">
        <v>78</v>
      </c>
      <c r="AR194" s="15" t="s">
        <v>51</v>
      </c>
      <c r="AS194" s="16" t="s">
        <v>21</v>
      </c>
      <c r="AT194" s="15" t="s">
        <v>49</v>
      </c>
      <c r="AU194" s="15" t="s">
        <v>79</v>
      </c>
      <c r="AV194" s="15" t="s">
        <v>51</v>
      </c>
      <c r="AW194" s="16" t="s">
        <v>21</v>
      </c>
      <c r="AX194" s="15" t="s">
        <v>49</v>
      </c>
    </row>
    <row r="195" spans="1:50" ht="13.5" customHeight="1" x14ac:dyDescent="0.2">
      <c r="A195" s="3" t="s">
        <v>11</v>
      </c>
      <c r="B195" s="3">
        <f>Results!$O$23</f>
        <v>18</v>
      </c>
      <c r="C195" s="11">
        <v>3</v>
      </c>
      <c r="D195" s="3">
        <f t="shared" ref="D195:D198" si="372">B195*C195</f>
        <v>54</v>
      </c>
      <c r="E195" s="3" t="s">
        <v>57</v>
      </c>
      <c r="F195" s="3">
        <f>Results!$O$28</f>
        <v>2</v>
      </c>
      <c r="G195" s="11">
        <v>3</v>
      </c>
      <c r="H195" s="3">
        <f t="shared" ref="H195:H198" si="373">F195*G195</f>
        <v>6</v>
      </c>
      <c r="I195" s="3" t="s">
        <v>18</v>
      </c>
      <c r="J195" s="3">
        <f>Results!$O$33</f>
        <v>2</v>
      </c>
      <c r="K195" s="11">
        <v>3</v>
      </c>
      <c r="L195" s="3">
        <f t="shared" ref="L195:L198" si="374">J195*K195</f>
        <v>6</v>
      </c>
      <c r="M195" s="3" t="s">
        <v>17</v>
      </c>
      <c r="N195" s="3">
        <f>Results!$O$38</f>
        <v>2</v>
      </c>
      <c r="O195" s="11">
        <v>5</v>
      </c>
      <c r="P195" s="3">
        <f t="shared" ref="P195:P198" si="375">N195*O195</f>
        <v>10</v>
      </c>
      <c r="R195" s="3" t="s">
        <v>11</v>
      </c>
      <c r="S195" s="3">
        <f>Results!$O$23</f>
        <v>18</v>
      </c>
      <c r="T195" s="11">
        <v>3</v>
      </c>
      <c r="U195" s="3">
        <f t="shared" ref="U195:U198" si="376">S195*T195</f>
        <v>54</v>
      </c>
      <c r="V195" s="3" t="s">
        <v>57</v>
      </c>
      <c r="W195" s="3">
        <f>Results!$O$28</f>
        <v>2</v>
      </c>
      <c r="X195" s="11">
        <v>3</v>
      </c>
      <c r="Y195" s="3">
        <f t="shared" ref="Y195:Y198" si="377">W195*X195</f>
        <v>6</v>
      </c>
      <c r="Z195" s="3" t="s">
        <v>18</v>
      </c>
      <c r="AA195" s="3">
        <f>Results!$O$33</f>
        <v>2</v>
      </c>
      <c r="AB195" s="11">
        <v>3</v>
      </c>
      <c r="AC195" s="3">
        <f t="shared" ref="AC195:AC198" si="378">AA195*AB195</f>
        <v>6</v>
      </c>
      <c r="AD195" s="3" t="s">
        <v>17</v>
      </c>
      <c r="AE195" s="3">
        <f>Results!$O$38</f>
        <v>2</v>
      </c>
      <c r="AF195" s="11">
        <v>3</v>
      </c>
      <c r="AG195" s="3">
        <f t="shared" ref="AG195:AG198" si="379">AE195*AF195</f>
        <v>6</v>
      </c>
      <c r="AI195" s="3" t="s">
        <v>11</v>
      </c>
      <c r="AJ195" s="3">
        <f>Results!$O$23</f>
        <v>18</v>
      </c>
      <c r="AK195" s="11">
        <v>3</v>
      </c>
      <c r="AL195" s="3">
        <f t="shared" ref="AL195:AL198" si="380">AJ195*AK195</f>
        <v>54</v>
      </c>
      <c r="AM195" s="3" t="s">
        <v>57</v>
      </c>
      <c r="AN195" s="3">
        <f>Results!$O$28</f>
        <v>2</v>
      </c>
      <c r="AO195" s="11">
        <v>3</v>
      </c>
      <c r="AP195" s="3">
        <f t="shared" ref="AP195:AP198" si="381">AN195*AO195</f>
        <v>6</v>
      </c>
      <c r="AQ195" s="3" t="s">
        <v>18</v>
      </c>
      <c r="AR195" s="3">
        <f>Results!$O$33</f>
        <v>2</v>
      </c>
      <c r="AS195" s="11">
        <v>3</v>
      </c>
      <c r="AT195" s="3">
        <f t="shared" ref="AT195:AT198" si="382">AR195*AS195</f>
        <v>6</v>
      </c>
      <c r="AU195" s="3" t="s">
        <v>17</v>
      </c>
      <c r="AV195" s="3">
        <f>Results!$O$38</f>
        <v>2</v>
      </c>
      <c r="AW195" s="11">
        <v>3</v>
      </c>
      <c r="AX195" s="3">
        <f t="shared" ref="AX195:AX198" si="383">AV195*AW195</f>
        <v>6</v>
      </c>
    </row>
    <row r="196" spans="1:50" ht="13.5" customHeight="1" x14ac:dyDescent="0.2">
      <c r="A196" s="3" t="s">
        <v>108</v>
      </c>
      <c r="B196" s="3">
        <f>Results!$O$24</f>
        <v>-5</v>
      </c>
      <c r="C196" s="11"/>
      <c r="D196" s="3">
        <f t="shared" si="372"/>
        <v>0</v>
      </c>
      <c r="E196" s="3" t="s">
        <v>75</v>
      </c>
      <c r="F196" s="3">
        <f>Results!$O$29</f>
        <v>5</v>
      </c>
      <c r="G196" s="11">
        <v>2</v>
      </c>
      <c r="H196" s="3">
        <f t="shared" si="373"/>
        <v>10</v>
      </c>
      <c r="I196" s="3" t="s">
        <v>111</v>
      </c>
      <c r="J196" s="3">
        <f>Results!$O$34</f>
        <v>2</v>
      </c>
      <c r="K196" s="11">
        <v>2</v>
      </c>
      <c r="L196" s="3">
        <f t="shared" si="374"/>
        <v>4</v>
      </c>
      <c r="M196" s="3" t="s">
        <v>113</v>
      </c>
      <c r="N196" s="3">
        <f>Results!$O$39</f>
        <v>2</v>
      </c>
      <c r="O196" s="11">
        <v>1</v>
      </c>
      <c r="P196" s="3">
        <f t="shared" si="375"/>
        <v>2</v>
      </c>
      <c r="R196" s="3" t="s">
        <v>108</v>
      </c>
      <c r="S196" s="3">
        <f>Results!$O$24</f>
        <v>-5</v>
      </c>
      <c r="T196" s="11"/>
      <c r="U196" s="3">
        <f t="shared" si="376"/>
        <v>0</v>
      </c>
      <c r="V196" s="3" t="s">
        <v>75</v>
      </c>
      <c r="W196" s="3">
        <f>Results!$O$29</f>
        <v>5</v>
      </c>
      <c r="X196" s="11">
        <v>2</v>
      </c>
      <c r="Y196" s="3">
        <f t="shared" si="377"/>
        <v>10</v>
      </c>
      <c r="Z196" s="3" t="s">
        <v>111</v>
      </c>
      <c r="AA196" s="3">
        <f>Results!$O$34</f>
        <v>2</v>
      </c>
      <c r="AB196" s="11">
        <v>1</v>
      </c>
      <c r="AC196" s="3">
        <f t="shared" si="378"/>
        <v>2</v>
      </c>
      <c r="AD196" s="3" t="s">
        <v>113</v>
      </c>
      <c r="AE196" s="3">
        <f>Results!$O$39</f>
        <v>2</v>
      </c>
      <c r="AF196" s="11"/>
      <c r="AG196" s="3">
        <f t="shared" si="379"/>
        <v>0</v>
      </c>
      <c r="AI196" s="3" t="s">
        <v>108</v>
      </c>
      <c r="AJ196" s="3">
        <f>Results!$O$24</f>
        <v>-5</v>
      </c>
      <c r="AK196" s="11"/>
      <c r="AL196" s="3">
        <f t="shared" si="380"/>
        <v>0</v>
      </c>
      <c r="AM196" s="3" t="s">
        <v>75</v>
      </c>
      <c r="AN196" s="3">
        <f>Results!$O$29</f>
        <v>5</v>
      </c>
      <c r="AO196" s="11">
        <v>1</v>
      </c>
      <c r="AP196" s="3">
        <f t="shared" si="381"/>
        <v>5</v>
      </c>
      <c r="AQ196" s="3" t="s">
        <v>111</v>
      </c>
      <c r="AR196" s="3">
        <f>Results!$O$34</f>
        <v>2</v>
      </c>
      <c r="AS196" s="11">
        <v>2</v>
      </c>
      <c r="AT196" s="3">
        <f t="shared" si="382"/>
        <v>4</v>
      </c>
      <c r="AU196" s="3" t="s">
        <v>113</v>
      </c>
      <c r="AV196" s="3">
        <f>Results!$O$39</f>
        <v>2</v>
      </c>
      <c r="AW196" s="11"/>
      <c r="AX196" s="3">
        <f t="shared" si="383"/>
        <v>0</v>
      </c>
    </row>
    <row r="197" spans="1:50" ht="13.5" customHeight="1" x14ac:dyDescent="0.2">
      <c r="A197" s="3" t="s">
        <v>109</v>
      </c>
      <c r="B197" s="3">
        <f>Results!$O$25</f>
        <v>4</v>
      </c>
      <c r="C197" s="11">
        <v>1</v>
      </c>
      <c r="D197" s="3">
        <f t="shared" si="372"/>
        <v>4</v>
      </c>
      <c r="E197" s="3" t="s">
        <v>110</v>
      </c>
      <c r="F197" s="3">
        <f>Results!$O$30</f>
        <v>14</v>
      </c>
      <c r="G197" s="11">
        <v>1</v>
      </c>
      <c r="H197" s="3">
        <f t="shared" si="373"/>
        <v>14</v>
      </c>
      <c r="I197" s="3" t="s">
        <v>67</v>
      </c>
      <c r="J197" s="3">
        <f>Results!$O$35</f>
        <v>4</v>
      </c>
      <c r="K197" s="11"/>
      <c r="L197" s="3">
        <f t="shared" si="374"/>
        <v>0</v>
      </c>
      <c r="M197" s="3" t="s">
        <v>70</v>
      </c>
      <c r="N197" s="3">
        <f>Results!$O$40</f>
        <v>3</v>
      </c>
      <c r="O197" s="11">
        <v>2</v>
      </c>
      <c r="P197" s="3">
        <f t="shared" si="375"/>
        <v>6</v>
      </c>
      <c r="R197" s="3" t="s">
        <v>109</v>
      </c>
      <c r="S197" s="3">
        <f>Results!$O$25</f>
        <v>4</v>
      </c>
      <c r="T197" s="11">
        <v>1</v>
      </c>
      <c r="U197" s="3">
        <f t="shared" si="376"/>
        <v>4</v>
      </c>
      <c r="V197" s="3" t="s">
        <v>110</v>
      </c>
      <c r="W197" s="3">
        <f>Results!$O$30</f>
        <v>14</v>
      </c>
      <c r="X197" s="11">
        <v>1</v>
      </c>
      <c r="Y197" s="3">
        <f t="shared" si="377"/>
        <v>14</v>
      </c>
      <c r="Z197" s="3" t="s">
        <v>67</v>
      </c>
      <c r="AA197" s="3">
        <f>Results!$O$35</f>
        <v>4</v>
      </c>
      <c r="AB197" s="11">
        <v>2</v>
      </c>
      <c r="AC197" s="3">
        <f t="shared" si="378"/>
        <v>8</v>
      </c>
      <c r="AD197" s="3" t="s">
        <v>70</v>
      </c>
      <c r="AE197" s="3">
        <f>Results!$O$40</f>
        <v>3</v>
      </c>
      <c r="AF197" s="11">
        <v>1</v>
      </c>
      <c r="AG197" s="3">
        <f t="shared" si="379"/>
        <v>3</v>
      </c>
      <c r="AI197" s="3" t="s">
        <v>109</v>
      </c>
      <c r="AJ197" s="3">
        <f>Results!$O$25</f>
        <v>4</v>
      </c>
      <c r="AK197" s="11">
        <v>2</v>
      </c>
      <c r="AL197" s="3">
        <f t="shared" si="380"/>
        <v>8</v>
      </c>
      <c r="AM197" s="3" t="s">
        <v>110</v>
      </c>
      <c r="AN197" s="3">
        <f>Results!$O$30</f>
        <v>14</v>
      </c>
      <c r="AO197" s="11">
        <v>2</v>
      </c>
      <c r="AP197" s="3">
        <f t="shared" si="381"/>
        <v>28</v>
      </c>
      <c r="AQ197" s="3" t="s">
        <v>67</v>
      </c>
      <c r="AR197" s="3">
        <f>Results!$O$35</f>
        <v>4</v>
      </c>
      <c r="AS197" s="11"/>
      <c r="AT197" s="3">
        <f t="shared" si="382"/>
        <v>0</v>
      </c>
      <c r="AU197" s="3" t="s">
        <v>70</v>
      </c>
      <c r="AV197" s="3">
        <f>Results!$O$40</f>
        <v>3</v>
      </c>
      <c r="AW197" s="11">
        <v>1</v>
      </c>
      <c r="AX197" s="3">
        <f t="shared" si="383"/>
        <v>3</v>
      </c>
    </row>
    <row r="198" spans="1:50" ht="13.5" customHeight="1" x14ac:dyDescent="0.2">
      <c r="A198" s="24" t="s">
        <v>91</v>
      </c>
      <c r="B198" s="24">
        <f>Results!$O$26</f>
        <v>-2</v>
      </c>
      <c r="C198" s="25">
        <v>2</v>
      </c>
      <c r="D198" s="24">
        <f t="shared" si="372"/>
        <v>-4</v>
      </c>
      <c r="E198" s="24" t="s">
        <v>73</v>
      </c>
      <c r="F198" s="24">
        <f>Results!$O$31</f>
        <v>-4</v>
      </c>
      <c r="G198" s="25"/>
      <c r="H198" s="24">
        <f t="shared" si="373"/>
        <v>0</v>
      </c>
      <c r="I198" s="24" t="s">
        <v>112</v>
      </c>
      <c r="J198" s="24">
        <f>Results!$O$36</f>
        <v>5</v>
      </c>
      <c r="K198" s="25">
        <v>1</v>
      </c>
      <c r="L198" s="24">
        <f t="shared" si="374"/>
        <v>5</v>
      </c>
      <c r="M198" s="24" t="s">
        <v>84</v>
      </c>
      <c r="N198" s="24">
        <f>Results!$O$41</f>
        <v>4</v>
      </c>
      <c r="O198" s="25">
        <v>3</v>
      </c>
      <c r="P198" s="24">
        <f t="shared" si="375"/>
        <v>12</v>
      </c>
      <c r="R198" s="24" t="s">
        <v>91</v>
      </c>
      <c r="S198" s="24">
        <f>Results!$O$26</f>
        <v>-2</v>
      </c>
      <c r="T198" s="25">
        <v>2</v>
      </c>
      <c r="U198" s="24">
        <f t="shared" si="376"/>
        <v>-4</v>
      </c>
      <c r="V198" s="24" t="s">
        <v>73</v>
      </c>
      <c r="W198" s="24">
        <f>Results!$O$31</f>
        <v>-4</v>
      </c>
      <c r="X198" s="25"/>
      <c r="Y198" s="24">
        <f t="shared" si="377"/>
        <v>0</v>
      </c>
      <c r="Z198" s="24" t="s">
        <v>112</v>
      </c>
      <c r="AA198" s="24">
        <f>Results!$O$36</f>
        <v>5</v>
      </c>
      <c r="AB198" s="25"/>
      <c r="AC198" s="24">
        <f t="shared" si="378"/>
        <v>0</v>
      </c>
      <c r="AD198" s="24" t="s">
        <v>84</v>
      </c>
      <c r="AE198" s="24">
        <f>Results!$O$41</f>
        <v>4</v>
      </c>
      <c r="AF198" s="25">
        <v>2</v>
      </c>
      <c r="AG198" s="24">
        <f t="shared" si="379"/>
        <v>8</v>
      </c>
      <c r="AI198" s="24" t="s">
        <v>91</v>
      </c>
      <c r="AJ198" s="24">
        <f>Results!$O$26</f>
        <v>-2</v>
      </c>
      <c r="AK198" s="25">
        <v>1</v>
      </c>
      <c r="AL198" s="24">
        <f t="shared" si="380"/>
        <v>-2</v>
      </c>
      <c r="AM198" s="24" t="s">
        <v>73</v>
      </c>
      <c r="AN198" s="24">
        <f>Results!$O$31</f>
        <v>-4</v>
      </c>
      <c r="AO198" s="25"/>
      <c r="AP198" s="24">
        <f t="shared" si="381"/>
        <v>0</v>
      </c>
      <c r="AQ198" s="24" t="s">
        <v>112</v>
      </c>
      <c r="AR198" s="24">
        <f>Results!$O$36</f>
        <v>5</v>
      </c>
      <c r="AS198" s="25">
        <v>1</v>
      </c>
      <c r="AT198" s="24">
        <f t="shared" si="382"/>
        <v>5</v>
      </c>
      <c r="AU198" s="24" t="s">
        <v>84</v>
      </c>
      <c r="AV198" s="24">
        <f>Results!$O$41</f>
        <v>4</v>
      </c>
      <c r="AW198" s="25">
        <v>2</v>
      </c>
      <c r="AX198" s="24">
        <f t="shared" si="383"/>
        <v>8</v>
      </c>
    </row>
    <row r="199" spans="1:50" ht="13.5" customHeight="1" x14ac:dyDescent="0.2">
      <c r="A199" s="14" t="s">
        <v>97</v>
      </c>
      <c r="B199" s="15" t="s">
        <v>51</v>
      </c>
      <c r="C199" s="16" t="s">
        <v>21</v>
      </c>
      <c r="D199" s="15" t="s">
        <v>49</v>
      </c>
      <c r="E199" s="15" t="s">
        <v>98</v>
      </c>
      <c r="F199" s="15" t="s">
        <v>51</v>
      </c>
      <c r="G199" s="16" t="s">
        <v>21</v>
      </c>
      <c r="H199" s="15" t="s">
        <v>49</v>
      </c>
      <c r="I199" s="15" t="s">
        <v>99</v>
      </c>
      <c r="J199" s="15" t="s">
        <v>51</v>
      </c>
      <c r="K199" s="16" t="s">
        <v>21</v>
      </c>
      <c r="L199" s="15" t="s">
        <v>49</v>
      </c>
      <c r="M199" s="15" t="s">
        <v>100</v>
      </c>
      <c r="N199" s="15" t="s">
        <v>51</v>
      </c>
      <c r="O199" s="16" t="s">
        <v>21</v>
      </c>
      <c r="P199" s="15" t="s">
        <v>49</v>
      </c>
      <c r="R199" s="14" t="s">
        <v>97</v>
      </c>
      <c r="S199" s="15" t="s">
        <v>51</v>
      </c>
      <c r="T199" s="16" t="s">
        <v>21</v>
      </c>
      <c r="U199" s="15" t="s">
        <v>49</v>
      </c>
      <c r="V199" s="15" t="s">
        <v>98</v>
      </c>
      <c r="W199" s="15" t="s">
        <v>51</v>
      </c>
      <c r="X199" s="16" t="s">
        <v>21</v>
      </c>
      <c r="Y199" s="15" t="s">
        <v>49</v>
      </c>
      <c r="Z199" s="15" t="s">
        <v>99</v>
      </c>
      <c r="AA199" s="15" t="s">
        <v>51</v>
      </c>
      <c r="AB199" s="16" t="s">
        <v>21</v>
      </c>
      <c r="AC199" s="15" t="s">
        <v>49</v>
      </c>
      <c r="AD199" s="15" t="s">
        <v>100</v>
      </c>
      <c r="AE199" s="15" t="s">
        <v>51</v>
      </c>
      <c r="AF199" s="16" t="s">
        <v>21</v>
      </c>
      <c r="AG199" s="15" t="s">
        <v>49</v>
      </c>
      <c r="AI199" s="14" t="s">
        <v>97</v>
      </c>
      <c r="AJ199" s="15" t="s">
        <v>51</v>
      </c>
      <c r="AK199" s="16" t="s">
        <v>21</v>
      </c>
      <c r="AL199" s="15" t="s">
        <v>49</v>
      </c>
      <c r="AM199" s="15" t="s">
        <v>98</v>
      </c>
      <c r="AN199" s="15" t="s">
        <v>51</v>
      </c>
      <c r="AO199" s="16" t="s">
        <v>21</v>
      </c>
      <c r="AP199" s="15" t="s">
        <v>49</v>
      </c>
      <c r="AQ199" s="15" t="s">
        <v>99</v>
      </c>
      <c r="AR199" s="15" t="s">
        <v>51</v>
      </c>
      <c r="AS199" s="16" t="s">
        <v>21</v>
      </c>
      <c r="AT199" s="15" t="s">
        <v>49</v>
      </c>
      <c r="AU199" s="15" t="s">
        <v>100</v>
      </c>
      <c r="AV199" s="15" t="s">
        <v>51</v>
      </c>
      <c r="AW199" s="16" t="s">
        <v>21</v>
      </c>
      <c r="AX199" s="15" t="s">
        <v>49</v>
      </c>
    </row>
    <row r="200" spans="1:50" ht="13.5" customHeight="1" x14ac:dyDescent="0.2">
      <c r="A200" s="3" t="s">
        <v>8</v>
      </c>
      <c r="B200" s="3">
        <f>Results!$O$43</f>
        <v>10</v>
      </c>
      <c r="C200" s="11">
        <v>3</v>
      </c>
      <c r="D200" s="3">
        <f t="shared" ref="D200:D203" si="384">B200*C200</f>
        <v>30</v>
      </c>
      <c r="E200" s="3" t="s">
        <v>69</v>
      </c>
      <c r="F200" s="3">
        <f>Results!$O$48</f>
        <v>11</v>
      </c>
      <c r="G200" s="11">
        <v>3</v>
      </c>
      <c r="H200" s="3">
        <f t="shared" ref="H200:H203" si="385">F200*G200</f>
        <v>33</v>
      </c>
      <c r="I200" s="3" t="s">
        <v>19</v>
      </c>
      <c r="J200" s="3">
        <f>Results!$O$53</f>
        <v>1</v>
      </c>
      <c r="K200" s="11">
        <v>3</v>
      </c>
      <c r="L200" s="3">
        <f t="shared" ref="L200:L203" si="386">J200*K200</f>
        <v>3</v>
      </c>
      <c r="M200" s="3" t="s">
        <v>10</v>
      </c>
      <c r="N200" s="3">
        <f>Results!$O$58</f>
        <v>11</v>
      </c>
      <c r="O200" s="11">
        <v>3</v>
      </c>
      <c r="P200" s="3">
        <f t="shared" ref="P200:P203" si="387">N200*O200</f>
        <v>33</v>
      </c>
      <c r="R200" s="3" t="s">
        <v>8</v>
      </c>
      <c r="S200" s="3">
        <f>Results!$O$43</f>
        <v>10</v>
      </c>
      <c r="T200" s="11">
        <v>3</v>
      </c>
      <c r="U200" s="3">
        <f t="shared" ref="U200:U203" si="388">S200*T200</f>
        <v>30</v>
      </c>
      <c r="V200" s="3" t="s">
        <v>69</v>
      </c>
      <c r="W200" s="3">
        <f>Results!$O$48</f>
        <v>11</v>
      </c>
      <c r="X200" s="11">
        <v>3</v>
      </c>
      <c r="Y200" s="3">
        <f t="shared" ref="Y200:Y203" si="389">W200*X200</f>
        <v>33</v>
      </c>
      <c r="Z200" s="3" t="s">
        <v>19</v>
      </c>
      <c r="AA200" s="3">
        <f>Results!$O$53</f>
        <v>1</v>
      </c>
      <c r="AB200" s="11">
        <v>3</v>
      </c>
      <c r="AC200" s="3">
        <f t="shared" ref="AC200:AC203" si="390">AA200*AB200</f>
        <v>3</v>
      </c>
      <c r="AD200" s="3" t="s">
        <v>10</v>
      </c>
      <c r="AE200" s="3">
        <f>Results!$O$58</f>
        <v>11</v>
      </c>
      <c r="AF200" s="11">
        <v>5</v>
      </c>
      <c r="AG200" s="3">
        <f t="shared" ref="AG200:AG203" si="391">AE200*AF200</f>
        <v>55</v>
      </c>
      <c r="AI200" s="3" t="s">
        <v>8</v>
      </c>
      <c r="AJ200" s="3">
        <f>Results!$O$43</f>
        <v>10</v>
      </c>
      <c r="AK200" s="11">
        <v>5</v>
      </c>
      <c r="AL200" s="3">
        <f t="shared" ref="AL200:AL203" si="392">AJ200*AK200</f>
        <v>50</v>
      </c>
      <c r="AM200" s="3" t="s">
        <v>69</v>
      </c>
      <c r="AN200" s="3">
        <f>Results!$O$48</f>
        <v>11</v>
      </c>
      <c r="AO200" s="11">
        <v>3</v>
      </c>
      <c r="AP200" s="3">
        <f t="shared" ref="AP200:AP203" si="393">AN200*AO200</f>
        <v>33</v>
      </c>
      <c r="AQ200" s="3" t="s">
        <v>19</v>
      </c>
      <c r="AR200" s="3">
        <f>Results!$O$53</f>
        <v>1</v>
      </c>
      <c r="AS200" s="11">
        <v>3</v>
      </c>
      <c r="AT200" s="3">
        <f t="shared" ref="AT200:AT203" si="394">AR200*AS200</f>
        <v>3</v>
      </c>
      <c r="AU200" s="3" t="s">
        <v>10</v>
      </c>
      <c r="AV200" s="3">
        <f>Results!$O$58</f>
        <v>11</v>
      </c>
      <c r="AW200" s="11">
        <v>3</v>
      </c>
      <c r="AX200" s="3">
        <f t="shared" ref="AX200:AX203" si="395">AV200*AW200</f>
        <v>33</v>
      </c>
    </row>
    <row r="201" spans="1:50" ht="13.5" customHeight="1" x14ac:dyDescent="0.2">
      <c r="A201" s="3" t="s">
        <v>66</v>
      </c>
      <c r="B201" s="3">
        <f>Results!$O$44</f>
        <v>-1</v>
      </c>
      <c r="C201" s="11"/>
      <c r="D201" s="3">
        <f t="shared" si="384"/>
        <v>0</v>
      </c>
      <c r="E201" s="3" t="s">
        <v>116</v>
      </c>
      <c r="F201" s="3">
        <f>Results!$O$49</f>
        <v>-3</v>
      </c>
      <c r="G201" s="11">
        <v>1</v>
      </c>
      <c r="H201" s="3">
        <f t="shared" si="385"/>
        <v>-3</v>
      </c>
      <c r="I201" s="3" t="s">
        <v>119</v>
      </c>
      <c r="J201" s="3">
        <f>Results!$O$54</f>
        <v>3</v>
      </c>
      <c r="K201" s="11">
        <v>1</v>
      </c>
      <c r="L201" s="3">
        <f t="shared" si="386"/>
        <v>3</v>
      </c>
      <c r="M201" s="3" t="s">
        <v>16</v>
      </c>
      <c r="N201" s="3">
        <f>Results!$O$59</f>
        <v>0</v>
      </c>
      <c r="O201" s="11">
        <v>2</v>
      </c>
      <c r="P201" s="3">
        <f t="shared" si="387"/>
        <v>0</v>
      </c>
      <c r="R201" s="3" t="s">
        <v>66</v>
      </c>
      <c r="S201" s="3">
        <f>Results!$O$44</f>
        <v>-1</v>
      </c>
      <c r="T201" s="11">
        <v>1</v>
      </c>
      <c r="U201" s="3">
        <f t="shared" si="388"/>
        <v>-1</v>
      </c>
      <c r="V201" s="3" t="s">
        <v>116</v>
      </c>
      <c r="W201" s="3">
        <f>Results!$O$49</f>
        <v>-3</v>
      </c>
      <c r="X201" s="11">
        <v>1</v>
      </c>
      <c r="Y201" s="3">
        <f t="shared" si="389"/>
        <v>-3</v>
      </c>
      <c r="Z201" s="3" t="s">
        <v>119</v>
      </c>
      <c r="AA201" s="3">
        <f>Results!$O$54</f>
        <v>3</v>
      </c>
      <c r="AB201" s="11"/>
      <c r="AC201" s="3">
        <f t="shared" si="390"/>
        <v>0</v>
      </c>
      <c r="AD201" s="3" t="s">
        <v>16</v>
      </c>
      <c r="AE201" s="3">
        <f>Results!$O$59</f>
        <v>0</v>
      </c>
      <c r="AF201" s="11">
        <v>3</v>
      </c>
      <c r="AG201" s="3">
        <f t="shared" si="391"/>
        <v>0</v>
      </c>
      <c r="AI201" s="3" t="s">
        <v>66</v>
      </c>
      <c r="AJ201" s="3">
        <f>Results!$O$44</f>
        <v>-1</v>
      </c>
      <c r="AK201" s="11">
        <v>2</v>
      </c>
      <c r="AL201" s="3">
        <f t="shared" si="392"/>
        <v>-2</v>
      </c>
      <c r="AM201" s="3" t="s">
        <v>116</v>
      </c>
      <c r="AN201" s="3">
        <f>Results!$O$49</f>
        <v>-3</v>
      </c>
      <c r="AO201" s="11">
        <v>1</v>
      </c>
      <c r="AP201" s="3">
        <f t="shared" si="393"/>
        <v>-3</v>
      </c>
      <c r="AQ201" s="3" t="s">
        <v>119</v>
      </c>
      <c r="AR201" s="3">
        <f>Results!$O$54</f>
        <v>3</v>
      </c>
      <c r="AS201" s="11">
        <v>1</v>
      </c>
      <c r="AT201" s="3">
        <f t="shared" si="394"/>
        <v>3</v>
      </c>
      <c r="AU201" s="3" t="s">
        <v>16</v>
      </c>
      <c r="AV201" s="3">
        <f>Results!$O$59</f>
        <v>0</v>
      </c>
      <c r="AW201" s="11">
        <v>2</v>
      </c>
      <c r="AX201" s="3">
        <f t="shared" si="395"/>
        <v>0</v>
      </c>
    </row>
    <row r="202" spans="1:50" ht="13.5" customHeight="1" x14ac:dyDescent="0.2">
      <c r="A202" s="3" t="s">
        <v>114</v>
      </c>
      <c r="B202" s="3">
        <f>Results!$O$45</f>
        <v>-3</v>
      </c>
      <c r="C202" s="11">
        <v>1</v>
      </c>
      <c r="D202" s="3">
        <f t="shared" si="384"/>
        <v>-3</v>
      </c>
      <c r="E202" s="3" t="s">
        <v>117</v>
      </c>
      <c r="F202" s="3">
        <f>Results!$O$50</f>
        <v>9</v>
      </c>
      <c r="G202" s="11">
        <v>2</v>
      </c>
      <c r="H202" s="3">
        <f t="shared" si="385"/>
        <v>18</v>
      </c>
      <c r="I202" s="3" t="s">
        <v>120</v>
      </c>
      <c r="J202" s="3">
        <f>Results!$O$55</f>
        <v>-2</v>
      </c>
      <c r="K202" s="11"/>
      <c r="L202" s="3">
        <f t="shared" si="386"/>
        <v>0</v>
      </c>
      <c r="M202" s="3" t="s">
        <v>83</v>
      </c>
      <c r="N202" s="3">
        <f>Results!$O$60</f>
        <v>6</v>
      </c>
      <c r="O202" s="11"/>
      <c r="P202" s="3">
        <f t="shared" si="387"/>
        <v>0</v>
      </c>
      <c r="R202" s="3" t="s">
        <v>114</v>
      </c>
      <c r="S202" s="3">
        <f>Results!$O$45</f>
        <v>-3</v>
      </c>
      <c r="T202" s="11"/>
      <c r="U202" s="3">
        <f t="shared" si="388"/>
        <v>0</v>
      </c>
      <c r="V202" s="3" t="s">
        <v>117</v>
      </c>
      <c r="W202" s="3">
        <f>Results!$O$50</f>
        <v>9</v>
      </c>
      <c r="X202" s="11">
        <v>2</v>
      </c>
      <c r="Y202" s="3">
        <f t="shared" si="389"/>
        <v>18</v>
      </c>
      <c r="Z202" s="3" t="s">
        <v>120</v>
      </c>
      <c r="AA202" s="3">
        <f>Results!$O$55</f>
        <v>-2</v>
      </c>
      <c r="AB202" s="11">
        <v>1</v>
      </c>
      <c r="AC202" s="3">
        <f t="shared" si="390"/>
        <v>-2</v>
      </c>
      <c r="AD202" s="3" t="s">
        <v>83</v>
      </c>
      <c r="AE202" s="3">
        <f>Results!$O$60</f>
        <v>6</v>
      </c>
      <c r="AF202" s="11">
        <v>2</v>
      </c>
      <c r="AG202" s="3">
        <f t="shared" si="391"/>
        <v>12</v>
      </c>
      <c r="AI202" s="3" t="s">
        <v>114</v>
      </c>
      <c r="AJ202" s="3">
        <f>Results!$O$45</f>
        <v>-3</v>
      </c>
      <c r="AK202" s="11">
        <v>1</v>
      </c>
      <c r="AL202" s="3">
        <f t="shared" si="392"/>
        <v>-3</v>
      </c>
      <c r="AM202" s="3" t="s">
        <v>117</v>
      </c>
      <c r="AN202" s="3">
        <f>Results!$O$50</f>
        <v>9</v>
      </c>
      <c r="AO202" s="11">
        <v>2</v>
      </c>
      <c r="AP202" s="3">
        <f t="shared" si="393"/>
        <v>18</v>
      </c>
      <c r="AQ202" s="3" t="s">
        <v>120</v>
      </c>
      <c r="AR202" s="3">
        <f>Results!$O$55</f>
        <v>-2</v>
      </c>
      <c r="AS202" s="11"/>
      <c r="AT202" s="3">
        <f t="shared" si="394"/>
        <v>0</v>
      </c>
      <c r="AU202" s="3" t="s">
        <v>83</v>
      </c>
      <c r="AV202" s="3">
        <f>Results!$O$60</f>
        <v>6</v>
      </c>
      <c r="AW202" s="11">
        <v>1</v>
      </c>
      <c r="AX202" s="3">
        <f t="shared" si="395"/>
        <v>6</v>
      </c>
    </row>
    <row r="203" spans="1:50" ht="13.5" customHeight="1" thickBot="1" x14ac:dyDescent="0.25">
      <c r="A203" s="19" t="s">
        <v>115</v>
      </c>
      <c r="B203" s="19">
        <f>Results!$O$46</f>
        <v>12</v>
      </c>
      <c r="C203" s="20">
        <v>2</v>
      </c>
      <c r="D203" s="19">
        <f t="shared" si="384"/>
        <v>24</v>
      </c>
      <c r="E203" s="19" t="s">
        <v>118</v>
      </c>
      <c r="F203" s="19">
        <f>Results!$O$51</f>
        <v>-1</v>
      </c>
      <c r="G203" s="20"/>
      <c r="H203" s="19">
        <f t="shared" si="385"/>
        <v>0</v>
      </c>
      <c r="I203" s="19" t="s">
        <v>121</v>
      </c>
      <c r="J203" s="19">
        <f>Results!$O$56</f>
        <v>9</v>
      </c>
      <c r="K203" s="20">
        <v>2</v>
      </c>
      <c r="L203" s="19">
        <f t="shared" si="386"/>
        <v>18</v>
      </c>
      <c r="M203" s="19" t="s">
        <v>122</v>
      </c>
      <c r="N203" s="19">
        <f>Results!$O$61</f>
        <v>-3</v>
      </c>
      <c r="O203" s="20">
        <v>1</v>
      </c>
      <c r="P203" s="19">
        <f t="shared" si="387"/>
        <v>-3</v>
      </c>
      <c r="R203" s="19" t="s">
        <v>115</v>
      </c>
      <c r="S203" s="19">
        <f>Results!$O$46</f>
        <v>12</v>
      </c>
      <c r="T203" s="20">
        <v>2</v>
      </c>
      <c r="U203" s="19">
        <f t="shared" si="388"/>
        <v>24</v>
      </c>
      <c r="V203" s="19" t="s">
        <v>118</v>
      </c>
      <c r="W203" s="19">
        <f>Results!$O$51</f>
        <v>-1</v>
      </c>
      <c r="X203" s="20"/>
      <c r="Y203" s="19">
        <f t="shared" si="389"/>
        <v>0</v>
      </c>
      <c r="Z203" s="19" t="s">
        <v>121</v>
      </c>
      <c r="AA203" s="19">
        <f>Results!$O$56</f>
        <v>9</v>
      </c>
      <c r="AB203" s="20">
        <v>2</v>
      </c>
      <c r="AC203" s="19">
        <f t="shared" si="390"/>
        <v>18</v>
      </c>
      <c r="AD203" s="19" t="s">
        <v>122</v>
      </c>
      <c r="AE203" s="19">
        <f>Results!$O$61</f>
        <v>-3</v>
      </c>
      <c r="AF203" s="20">
        <v>1</v>
      </c>
      <c r="AG203" s="19">
        <f t="shared" si="391"/>
        <v>-3</v>
      </c>
      <c r="AI203" s="19" t="s">
        <v>115</v>
      </c>
      <c r="AJ203" s="19">
        <f>Results!$O$46</f>
        <v>12</v>
      </c>
      <c r="AK203" s="20">
        <v>3</v>
      </c>
      <c r="AL203" s="19">
        <f t="shared" si="392"/>
        <v>36</v>
      </c>
      <c r="AM203" s="19" t="s">
        <v>118</v>
      </c>
      <c r="AN203" s="19">
        <f>Results!$O$51</f>
        <v>-1</v>
      </c>
      <c r="AO203" s="20"/>
      <c r="AP203" s="19">
        <f t="shared" si="393"/>
        <v>0</v>
      </c>
      <c r="AQ203" s="19" t="s">
        <v>121</v>
      </c>
      <c r="AR203" s="19">
        <f>Results!$O$56</f>
        <v>9</v>
      </c>
      <c r="AS203" s="20">
        <v>2</v>
      </c>
      <c r="AT203" s="19">
        <f t="shared" si="394"/>
        <v>18</v>
      </c>
      <c r="AU203" s="19" t="s">
        <v>122</v>
      </c>
      <c r="AV203" s="19">
        <f>Results!$O$61</f>
        <v>-3</v>
      </c>
      <c r="AW203" s="20"/>
      <c r="AX203" s="19">
        <f t="shared" si="395"/>
        <v>0</v>
      </c>
    </row>
    <row r="204" spans="1:50" s="27" customFormat="1" ht="13.5" customHeight="1" thickBot="1" x14ac:dyDescent="0.25">
      <c r="A204" s="35"/>
      <c r="B204" s="36"/>
      <c r="C204" s="37"/>
      <c r="D204" s="36"/>
      <c r="E204" s="36"/>
      <c r="F204" s="36"/>
      <c r="G204" s="37"/>
      <c r="H204" s="36"/>
      <c r="I204" s="36"/>
      <c r="J204" s="36"/>
      <c r="K204" s="37"/>
      <c r="L204" s="36"/>
      <c r="M204" s="36"/>
      <c r="N204" s="36"/>
      <c r="O204" s="37"/>
      <c r="P204" s="36"/>
      <c r="R204" s="35"/>
      <c r="S204" s="36"/>
      <c r="T204" s="37"/>
      <c r="U204" s="36"/>
      <c r="V204" s="36"/>
      <c r="W204" s="36"/>
      <c r="X204" s="37"/>
      <c r="Y204" s="36"/>
      <c r="Z204" s="36"/>
      <c r="AA204" s="36"/>
      <c r="AB204" s="37"/>
      <c r="AC204" s="36"/>
      <c r="AD204" s="36"/>
      <c r="AE204" s="36"/>
      <c r="AF204" s="37"/>
      <c r="AG204" s="36"/>
      <c r="AI204" s="35"/>
      <c r="AJ204" s="36"/>
      <c r="AK204" s="37"/>
      <c r="AL204" s="36"/>
      <c r="AM204" s="36"/>
      <c r="AN204" s="36"/>
      <c r="AO204" s="37"/>
      <c r="AP204" s="36"/>
      <c r="AQ204" s="36"/>
      <c r="AR204" s="36"/>
      <c r="AS204" s="37"/>
      <c r="AT204" s="36"/>
      <c r="AU204" s="36"/>
      <c r="AV204" s="36"/>
      <c r="AW204" s="37"/>
      <c r="AX204" s="36"/>
    </row>
    <row r="205" spans="1:50" ht="13.5" customHeight="1" x14ac:dyDescent="0.2">
      <c r="A205" s="12" t="s">
        <v>0</v>
      </c>
      <c r="B205" s="59" t="s">
        <v>133</v>
      </c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13" t="s">
        <v>50</v>
      </c>
      <c r="N205" s="61">
        <f>SUM(D207:D210,D212:D215,H207:H210, H212:H215,L207:L210,L212:L215,P207:P210,P212:P215,D217:D220,H217:H220,L217:L220,P217:P220)</f>
        <v>370</v>
      </c>
      <c r="O205" s="60"/>
      <c r="P205" s="62"/>
      <c r="R205" s="12" t="s">
        <v>0</v>
      </c>
      <c r="S205" s="59" t="s">
        <v>143</v>
      </c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13" t="s">
        <v>50</v>
      </c>
      <c r="AE205" s="61">
        <f>SUM(U207:U210,U212:U215,Y207:Y210, Y212:Y215,AC207:AC210,AC212:AC215,AG207:AG210,AG212:AG215,U217:U220,Y217:Y220,AC217:AC220,AG217:AG220)</f>
        <v>350</v>
      </c>
      <c r="AF205" s="60"/>
      <c r="AG205" s="62"/>
      <c r="AI205" s="12" t="s">
        <v>0</v>
      </c>
      <c r="AJ205" s="59" t="s">
        <v>154</v>
      </c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13" t="s">
        <v>50</v>
      </c>
      <c r="AV205" s="61">
        <f>SUM(AL207:AL210,AL212:AL215,AP207:AP210, AP212:AP215,AT207:AT210,AT212:AT215,AX207:AX210,AX212:AX215,AL217:AL220,AP217:AP220,AT217:AT220,AX217:AX220)</f>
        <v>418</v>
      </c>
      <c r="AW205" s="60"/>
      <c r="AX205" s="62"/>
    </row>
    <row r="206" spans="1:50" ht="13.5" customHeight="1" x14ac:dyDescent="0.2">
      <c r="A206" s="14" t="s">
        <v>3</v>
      </c>
      <c r="B206" s="15" t="s">
        <v>51</v>
      </c>
      <c r="C206" s="16" t="s">
        <v>21</v>
      </c>
      <c r="D206" s="15" t="s">
        <v>49</v>
      </c>
      <c r="E206" s="15" t="s">
        <v>6</v>
      </c>
      <c r="F206" s="15" t="s">
        <v>51</v>
      </c>
      <c r="G206" s="16" t="s">
        <v>21</v>
      </c>
      <c r="H206" s="15" t="s">
        <v>49</v>
      </c>
      <c r="I206" s="15" t="s">
        <v>7</v>
      </c>
      <c r="J206" s="15" t="s">
        <v>51</v>
      </c>
      <c r="K206" s="16" t="s">
        <v>21</v>
      </c>
      <c r="L206" s="15" t="s">
        <v>49</v>
      </c>
      <c r="M206" s="15" t="s">
        <v>13</v>
      </c>
      <c r="N206" s="15" t="s">
        <v>51</v>
      </c>
      <c r="O206" s="16" t="s">
        <v>21</v>
      </c>
      <c r="P206" s="17" t="s">
        <v>49</v>
      </c>
      <c r="R206" s="14" t="s">
        <v>3</v>
      </c>
      <c r="S206" s="15" t="s">
        <v>51</v>
      </c>
      <c r="T206" s="16" t="s">
        <v>21</v>
      </c>
      <c r="U206" s="15" t="s">
        <v>49</v>
      </c>
      <c r="V206" s="15" t="s">
        <v>6</v>
      </c>
      <c r="W206" s="15" t="s">
        <v>51</v>
      </c>
      <c r="X206" s="16" t="s">
        <v>21</v>
      </c>
      <c r="Y206" s="15" t="s">
        <v>49</v>
      </c>
      <c r="Z206" s="15" t="s">
        <v>7</v>
      </c>
      <c r="AA206" s="15" t="s">
        <v>51</v>
      </c>
      <c r="AB206" s="16" t="s">
        <v>21</v>
      </c>
      <c r="AC206" s="15" t="s">
        <v>49</v>
      </c>
      <c r="AD206" s="15" t="s">
        <v>13</v>
      </c>
      <c r="AE206" s="15" t="s">
        <v>51</v>
      </c>
      <c r="AF206" s="16" t="s">
        <v>21</v>
      </c>
      <c r="AG206" s="17" t="s">
        <v>49</v>
      </c>
      <c r="AI206" s="14" t="s">
        <v>3</v>
      </c>
      <c r="AJ206" s="15" t="s">
        <v>51</v>
      </c>
      <c r="AK206" s="16" t="s">
        <v>21</v>
      </c>
      <c r="AL206" s="15" t="s">
        <v>49</v>
      </c>
      <c r="AM206" s="15" t="s">
        <v>6</v>
      </c>
      <c r="AN206" s="15" t="s">
        <v>51</v>
      </c>
      <c r="AO206" s="16" t="s">
        <v>21</v>
      </c>
      <c r="AP206" s="15" t="s">
        <v>49</v>
      </c>
      <c r="AQ206" s="15" t="s">
        <v>7</v>
      </c>
      <c r="AR206" s="15" t="s">
        <v>51</v>
      </c>
      <c r="AS206" s="16" t="s">
        <v>21</v>
      </c>
      <c r="AT206" s="15" t="s">
        <v>49</v>
      </c>
      <c r="AU206" s="15" t="s">
        <v>13</v>
      </c>
      <c r="AV206" s="15" t="s">
        <v>51</v>
      </c>
      <c r="AW206" s="16" t="s">
        <v>21</v>
      </c>
      <c r="AX206" s="17" t="s">
        <v>49</v>
      </c>
    </row>
    <row r="207" spans="1:50" ht="13.5" customHeight="1" x14ac:dyDescent="0.2">
      <c r="A207" s="3" t="s">
        <v>71</v>
      </c>
      <c r="B207" s="3">
        <f>Results!$O$3</f>
        <v>3</v>
      </c>
      <c r="C207" s="11">
        <v>3</v>
      </c>
      <c r="D207" s="3">
        <f t="shared" ref="D207:D210" si="396">B207*C207</f>
        <v>9</v>
      </c>
      <c r="E207" s="3" t="s">
        <v>76</v>
      </c>
      <c r="F207" s="3">
        <f>Results!$O$8</f>
        <v>2</v>
      </c>
      <c r="G207" s="11">
        <v>2</v>
      </c>
      <c r="H207" s="3">
        <f t="shared" ref="H207:H210" si="397">F207*G207</f>
        <v>4</v>
      </c>
      <c r="I207" s="3" t="s">
        <v>80</v>
      </c>
      <c r="J207" s="3">
        <f>Results!$O$13</f>
        <v>2</v>
      </c>
      <c r="K207" s="11">
        <v>3</v>
      </c>
      <c r="L207" s="3">
        <f t="shared" ref="L207:L210" si="398">J207*K207</f>
        <v>6</v>
      </c>
      <c r="M207" s="3" t="s">
        <v>68</v>
      </c>
      <c r="N207" s="3">
        <f>Results!$O$18</f>
        <v>11</v>
      </c>
      <c r="O207" s="11">
        <v>1</v>
      </c>
      <c r="P207" s="18">
        <f>N207*O207</f>
        <v>11</v>
      </c>
      <c r="R207" s="3" t="s">
        <v>71</v>
      </c>
      <c r="S207" s="3">
        <f>Results!$O$3</f>
        <v>3</v>
      </c>
      <c r="T207" s="11">
        <v>2</v>
      </c>
      <c r="U207" s="3">
        <f t="shared" ref="U207:U210" si="399">S207*T207</f>
        <v>6</v>
      </c>
      <c r="V207" s="3" t="s">
        <v>76</v>
      </c>
      <c r="W207" s="3">
        <f>Results!$O$8</f>
        <v>2</v>
      </c>
      <c r="X207" s="11">
        <v>2</v>
      </c>
      <c r="Y207" s="3">
        <f t="shared" ref="Y207:Y210" si="400">W207*X207</f>
        <v>4</v>
      </c>
      <c r="Z207" s="3" t="s">
        <v>80</v>
      </c>
      <c r="AA207" s="3">
        <f>Results!$O$13</f>
        <v>2</v>
      </c>
      <c r="AB207" s="11">
        <v>5</v>
      </c>
      <c r="AC207" s="3">
        <f t="shared" ref="AC207:AC210" si="401">AA207*AB207</f>
        <v>10</v>
      </c>
      <c r="AD207" s="3" t="s">
        <v>68</v>
      </c>
      <c r="AE207" s="3">
        <f>Results!$O$18</f>
        <v>11</v>
      </c>
      <c r="AF207" s="11">
        <v>1</v>
      </c>
      <c r="AG207" s="18">
        <f>AE207*AF207</f>
        <v>11</v>
      </c>
      <c r="AI207" s="3" t="s">
        <v>71</v>
      </c>
      <c r="AJ207" s="3">
        <f>Results!$O$3</f>
        <v>3</v>
      </c>
      <c r="AK207" s="11">
        <v>1</v>
      </c>
      <c r="AL207" s="3">
        <f t="shared" ref="AL207:AL210" si="402">AJ207*AK207</f>
        <v>3</v>
      </c>
      <c r="AM207" s="3" t="s">
        <v>76</v>
      </c>
      <c r="AN207" s="3">
        <f>Results!$O$8</f>
        <v>2</v>
      </c>
      <c r="AO207" s="11">
        <v>2</v>
      </c>
      <c r="AP207" s="3">
        <f t="shared" ref="AP207:AP210" si="403">AN207*AO207</f>
        <v>4</v>
      </c>
      <c r="AQ207" s="3" t="s">
        <v>80</v>
      </c>
      <c r="AR207" s="3">
        <f>Results!$O$13</f>
        <v>2</v>
      </c>
      <c r="AS207" s="11">
        <v>3</v>
      </c>
      <c r="AT207" s="3">
        <f t="shared" ref="AT207:AT210" si="404">AR207*AS207</f>
        <v>6</v>
      </c>
      <c r="AU207" s="3" t="s">
        <v>68</v>
      </c>
      <c r="AV207" s="3">
        <f>Results!$O$18</f>
        <v>11</v>
      </c>
      <c r="AW207" s="11">
        <v>3</v>
      </c>
      <c r="AX207" s="18">
        <f>AV207*AW207</f>
        <v>33</v>
      </c>
    </row>
    <row r="208" spans="1:50" ht="13.5" customHeight="1" x14ac:dyDescent="0.2">
      <c r="A208" s="3" t="s">
        <v>123</v>
      </c>
      <c r="B208" s="3">
        <f>Results!$O$4</f>
        <v>-14</v>
      </c>
      <c r="C208" s="11"/>
      <c r="D208" s="3">
        <f t="shared" si="396"/>
        <v>0</v>
      </c>
      <c r="E208" s="3" t="s">
        <v>103</v>
      </c>
      <c r="F208" s="3">
        <f>Results!$O$9</f>
        <v>1</v>
      </c>
      <c r="G208" s="11"/>
      <c r="H208" s="3">
        <f t="shared" si="397"/>
        <v>0</v>
      </c>
      <c r="I208" s="3" t="s">
        <v>77</v>
      </c>
      <c r="J208" s="3">
        <f>Results!$O$14</f>
        <v>4</v>
      </c>
      <c r="K208" s="11">
        <v>1</v>
      </c>
      <c r="L208" s="3">
        <f t="shared" si="398"/>
        <v>4</v>
      </c>
      <c r="M208" s="3" t="s">
        <v>106</v>
      </c>
      <c r="N208" s="3">
        <f>Results!$O$19</f>
        <v>-7</v>
      </c>
      <c r="O208" s="11">
        <v>2</v>
      </c>
      <c r="P208" s="18">
        <f>N208*O208</f>
        <v>-14</v>
      </c>
      <c r="R208" s="3" t="s">
        <v>123</v>
      </c>
      <c r="S208" s="3">
        <f>Results!$O$4</f>
        <v>-14</v>
      </c>
      <c r="T208" s="11"/>
      <c r="U208" s="3">
        <f t="shared" si="399"/>
        <v>0</v>
      </c>
      <c r="V208" s="3" t="s">
        <v>103</v>
      </c>
      <c r="W208" s="3">
        <f>Results!$O$9</f>
        <v>1</v>
      </c>
      <c r="X208" s="11">
        <v>1</v>
      </c>
      <c r="Y208" s="3">
        <f t="shared" si="400"/>
        <v>1</v>
      </c>
      <c r="Z208" s="3" t="s">
        <v>77</v>
      </c>
      <c r="AA208" s="3">
        <f>Results!$O$14</f>
        <v>4</v>
      </c>
      <c r="AB208" s="11">
        <v>3</v>
      </c>
      <c r="AC208" s="3">
        <f t="shared" si="401"/>
        <v>12</v>
      </c>
      <c r="AD208" s="3" t="s">
        <v>106</v>
      </c>
      <c r="AE208" s="3">
        <f>Results!$O$19</f>
        <v>-7</v>
      </c>
      <c r="AF208" s="11"/>
      <c r="AG208" s="18">
        <f>AE208*AF208</f>
        <v>0</v>
      </c>
      <c r="AI208" s="3" t="s">
        <v>123</v>
      </c>
      <c r="AJ208" s="3">
        <f>Results!$O$4</f>
        <v>-14</v>
      </c>
      <c r="AK208" s="11"/>
      <c r="AL208" s="3">
        <f t="shared" si="402"/>
        <v>0</v>
      </c>
      <c r="AM208" s="3" t="s">
        <v>103</v>
      </c>
      <c r="AN208" s="3">
        <f>Results!$O$9</f>
        <v>1</v>
      </c>
      <c r="AO208" s="11">
        <v>1</v>
      </c>
      <c r="AP208" s="3">
        <f t="shared" si="403"/>
        <v>1</v>
      </c>
      <c r="AQ208" s="3" t="s">
        <v>77</v>
      </c>
      <c r="AR208" s="3">
        <f>Results!$O$14</f>
        <v>4</v>
      </c>
      <c r="AS208" s="11">
        <v>2</v>
      </c>
      <c r="AT208" s="3">
        <f t="shared" si="404"/>
        <v>8</v>
      </c>
      <c r="AU208" s="3" t="s">
        <v>106</v>
      </c>
      <c r="AV208" s="3">
        <f>Results!$O$19</f>
        <v>-7</v>
      </c>
      <c r="AW208" s="11"/>
      <c r="AX208" s="18">
        <f>AV208*AW208</f>
        <v>0</v>
      </c>
    </row>
    <row r="209" spans="1:50" ht="13.5" customHeight="1" x14ac:dyDescent="0.2">
      <c r="A209" s="3" t="s">
        <v>124</v>
      </c>
      <c r="B209" s="3">
        <f>Results!$O$5</f>
        <v>7</v>
      </c>
      <c r="C209" s="11">
        <v>1</v>
      </c>
      <c r="D209" s="3">
        <f t="shared" si="396"/>
        <v>7</v>
      </c>
      <c r="E209" s="3" t="s">
        <v>65</v>
      </c>
      <c r="F209" s="3">
        <f>Results!$O$10</f>
        <v>2</v>
      </c>
      <c r="G209" s="11">
        <v>1</v>
      </c>
      <c r="H209" s="3">
        <f t="shared" si="397"/>
        <v>2</v>
      </c>
      <c r="I209" s="3" t="s">
        <v>104</v>
      </c>
      <c r="J209" s="3">
        <f>Results!$O$15</f>
        <v>-2</v>
      </c>
      <c r="K209" s="11"/>
      <c r="L209" s="3">
        <f t="shared" si="398"/>
        <v>0</v>
      </c>
      <c r="M209" s="3" t="s">
        <v>72</v>
      </c>
      <c r="N209" s="3">
        <f>Results!$O$20</f>
        <v>9</v>
      </c>
      <c r="O209" s="11">
        <v>3</v>
      </c>
      <c r="P209" s="18">
        <f>N209*O209</f>
        <v>27</v>
      </c>
      <c r="R209" s="3" t="s">
        <v>124</v>
      </c>
      <c r="S209" s="3">
        <f>Results!$O$5</f>
        <v>7</v>
      </c>
      <c r="T209" s="11">
        <v>3</v>
      </c>
      <c r="U209" s="3">
        <f t="shared" si="399"/>
        <v>21</v>
      </c>
      <c r="V209" s="3" t="s">
        <v>65</v>
      </c>
      <c r="W209" s="3">
        <f>Results!$O$10</f>
        <v>2</v>
      </c>
      <c r="X209" s="11"/>
      <c r="Y209" s="3">
        <f t="shared" si="400"/>
        <v>0</v>
      </c>
      <c r="Z209" s="3" t="s">
        <v>104</v>
      </c>
      <c r="AA209" s="3">
        <f>Results!$O$15</f>
        <v>-2</v>
      </c>
      <c r="AB209" s="11">
        <v>1</v>
      </c>
      <c r="AC209" s="3">
        <f t="shared" si="401"/>
        <v>-2</v>
      </c>
      <c r="AD209" s="3" t="s">
        <v>72</v>
      </c>
      <c r="AE209" s="3">
        <f>Results!$O$20</f>
        <v>9</v>
      </c>
      <c r="AF209" s="11">
        <v>2</v>
      </c>
      <c r="AG209" s="18">
        <f>AE209*AF209</f>
        <v>18</v>
      </c>
      <c r="AI209" s="3" t="s">
        <v>124</v>
      </c>
      <c r="AJ209" s="3">
        <f>Results!$O$5</f>
        <v>7</v>
      </c>
      <c r="AK209" s="11">
        <v>2</v>
      </c>
      <c r="AL209" s="3">
        <f t="shared" si="402"/>
        <v>14</v>
      </c>
      <c r="AM209" s="3" t="s">
        <v>65</v>
      </c>
      <c r="AN209" s="3">
        <f>Results!$O$10</f>
        <v>2</v>
      </c>
      <c r="AO209" s="11"/>
      <c r="AP209" s="3">
        <f t="shared" si="403"/>
        <v>0</v>
      </c>
      <c r="AQ209" s="3" t="s">
        <v>104</v>
      </c>
      <c r="AR209" s="3">
        <f>Results!$O$15</f>
        <v>-2</v>
      </c>
      <c r="AS209" s="11"/>
      <c r="AT209" s="3">
        <f t="shared" si="404"/>
        <v>0</v>
      </c>
      <c r="AU209" s="3" t="s">
        <v>72</v>
      </c>
      <c r="AV209" s="3">
        <f>Results!$O$20</f>
        <v>9</v>
      </c>
      <c r="AW209" s="11">
        <v>2</v>
      </c>
      <c r="AX209" s="18">
        <f>AV209*AW209</f>
        <v>18</v>
      </c>
    </row>
    <row r="210" spans="1:50" ht="13.5" customHeight="1" x14ac:dyDescent="0.2">
      <c r="A210" s="3" t="s">
        <v>102</v>
      </c>
      <c r="B210" s="3">
        <f>Results!$O$6</f>
        <v>0</v>
      </c>
      <c r="C210" s="11">
        <v>2</v>
      </c>
      <c r="D210" s="3">
        <f t="shared" si="396"/>
        <v>0</v>
      </c>
      <c r="E210" s="3" t="s">
        <v>12</v>
      </c>
      <c r="F210" s="3">
        <f>Results!$O$11</f>
        <v>3</v>
      </c>
      <c r="G210" s="11">
        <v>3</v>
      </c>
      <c r="H210" s="3">
        <f t="shared" si="397"/>
        <v>9</v>
      </c>
      <c r="I210" s="3" t="s">
        <v>105</v>
      </c>
      <c r="J210" s="3">
        <f>Results!$O$16</f>
        <v>4</v>
      </c>
      <c r="K210" s="11">
        <v>2</v>
      </c>
      <c r="L210" s="3">
        <f t="shared" si="398"/>
        <v>8</v>
      </c>
      <c r="M210" s="3" t="s">
        <v>107</v>
      </c>
      <c r="N210" s="3">
        <f>Results!$O$21</f>
        <v>-3</v>
      </c>
      <c r="O210" s="11"/>
      <c r="P210" s="18">
        <f>N210*O210</f>
        <v>0</v>
      </c>
      <c r="R210" s="3" t="s">
        <v>102</v>
      </c>
      <c r="S210" s="3">
        <f>Results!$O$6</f>
        <v>0</v>
      </c>
      <c r="T210" s="11">
        <v>1</v>
      </c>
      <c r="U210" s="3">
        <f t="shared" si="399"/>
        <v>0</v>
      </c>
      <c r="V210" s="3" t="s">
        <v>12</v>
      </c>
      <c r="W210" s="3">
        <f>Results!$O$11</f>
        <v>3</v>
      </c>
      <c r="X210" s="11">
        <v>3</v>
      </c>
      <c r="Y210" s="3">
        <f t="shared" si="400"/>
        <v>9</v>
      </c>
      <c r="Z210" s="3" t="s">
        <v>105</v>
      </c>
      <c r="AA210" s="3">
        <f>Results!$O$16</f>
        <v>4</v>
      </c>
      <c r="AB210" s="11">
        <v>2</v>
      </c>
      <c r="AC210" s="3">
        <f t="shared" si="401"/>
        <v>8</v>
      </c>
      <c r="AD210" s="3" t="s">
        <v>107</v>
      </c>
      <c r="AE210" s="3">
        <f>Results!$O$21</f>
        <v>-3</v>
      </c>
      <c r="AF210" s="11">
        <v>3</v>
      </c>
      <c r="AG210" s="18">
        <f>AE210*AF210</f>
        <v>-9</v>
      </c>
      <c r="AI210" s="3" t="s">
        <v>102</v>
      </c>
      <c r="AJ210" s="3">
        <f>Results!$O$6</f>
        <v>0</v>
      </c>
      <c r="AK210" s="11">
        <v>3</v>
      </c>
      <c r="AL210" s="3">
        <f t="shared" si="402"/>
        <v>0</v>
      </c>
      <c r="AM210" s="3" t="s">
        <v>12</v>
      </c>
      <c r="AN210" s="3">
        <f>Results!$O$11</f>
        <v>3</v>
      </c>
      <c r="AO210" s="11">
        <v>3</v>
      </c>
      <c r="AP210" s="3">
        <f t="shared" si="403"/>
        <v>9</v>
      </c>
      <c r="AQ210" s="3" t="s">
        <v>105</v>
      </c>
      <c r="AR210" s="3">
        <f>Results!$O$16</f>
        <v>4</v>
      </c>
      <c r="AS210" s="11">
        <v>1</v>
      </c>
      <c r="AT210" s="3">
        <f t="shared" si="404"/>
        <v>4</v>
      </c>
      <c r="AU210" s="3" t="s">
        <v>107</v>
      </c>
      <c r="AV210" s="3">
        <f>Results!$O$21</f>
        <v>-3</v>
      </c>
      <c r="AW210" s="11">
        <v>1</v>
      </c>
      <c r="AX210" s="18">
        <f>AV210*AW210</f>
        <v>-3</v>
      </c>
    </row>
    <row r="211" spans="1:50" ht="13.5" customHeight="1" x14ac:dyDescent="0.2">
      <c r="A211" s="14" t="s">
        <v>14</v>
      </c>
      <c r="B211" s="15" t="s">
        <v>51</v>
      </c>
      <c r="C211" s="16" t="s">
        <v>21</v>
      </c>
      <c r="D211" s="15" t="s">
        <v>49</v>
      </c>
      <c r="E211" s="15" t="s">
        <v>15</v>
      </c>
      <c r="F211" s="15" t="s">
        <v>51</v>
      </c>
      <c r="G211" s="16" t="s">
        <v>21</v>
      </c>
      <c r="H211" s="15" t="s">
        <v>49</v>
      </c>
      <c r="I211" s="15" t="s">
        <v>78</v>
      </c>
      <c r="J211" s="15" t="s">
        <v>51</v>
      </c>
      <c r="K211" s="16" t="s">
        <v>21</v>
      </c>
      <c r="L211" s="15" t="s">
        <v>49</v>
      </c>
      <c r="M211" s="15" t="s">
        <v>79</v>
      </c>
      <c r="N211" s="15" t="s">
        <v>51</v>
      </c>
      <c r="O211" s="16" t="s">
        <v>21</v>
      </c>
      <c r="P211" s="15" t="s">
        <v>49</v>
      </c>
      <c r="R211" s="14" t="s">
        <v>14</v>
      </c>
      <c r="S211" s="15" t="s">
        <v>51</v>
      </c>
      <c r="T211" s="16" t="s">
        <v>21</v>
      </c>
      <c r="U211" s="15" t="s">
        <v>49</v>
      </c>
      <c r="V211" s="15" t="s">
        <v>15</v>
      </c>
      <c r="W211" s="15" t="s">
        <v>51</v>
      </c>
      <c r="X211" s="16" t="s">
        <v>21</v>
      </c>
      <c r="Y211" s="15" t="s">
        <v>49</v>
      </c>
      <c r="Z211" s="15" t="s">
        <v>78</v>
      </c>
      <c r="AA211" s="15" t="s">
        <v>51</v>
      </c>
      <c r="AB211" s="16" t="s">
        <v>21</v>
      </c>
      <c r="AC211" s="15" t="s">
        <v>49</v>
      </c>
      <c r="AD211" s="15" t="s">
        <v>79</v>
      </c>
      <c r="AE211" s="15" t="s">
        <v>51</v>
      </c>
      <c r="AF211" s="16" t="s">
        <v>21</v>
      </c>
      <c r="AG211" s="15" t="s">
        <v>49</v>
      </c>
      <c r="AI211" s="14" t="s">
        <v>14</v>
      </c>
      <c r="AJ211" s="15" t="s">
        <v>51</v>
      </c>
      <c r="AK211" s="16" t="s">
        <v>21</v>
      </c>
      <c r="AL211" s="15" t="s">
        <v>49</v>
      </c>
      <c r="AM211" s="15" t="s">
        <v>15</v>
      </c>
      <c r="AN211" s="15" t="s">
        <v>51</v>
      </c>
      <c r="AO211" s="16" t="s">
        <v>21</v>
      </c>
      <c r="AP211" s="15" t="s">
        <v>49</v>
      </c>
      <c r="AQ211" s="15" t="s">
        <v>78</v>
      </c>
      <c r="AR211" s="15" t="s">
        <v>51</v>
      </c>
      <c r="AS211" s="16" t="s">
        <v>21</v>
      </c>
      <c r="AT211" s="15" t="s">
        <v>49</v>
      </c>
      <c r="AU211" s="15" t="s">
        <v>79</v>
      </c>
      <c r="AV211" s="15" t="s">
        <v>51</v>
      </c>
      <c r="AW211" s="16" t="s">
        <v>21</v>
      </c>
      <c r="AX211" s="15" t="s">
        <v>49</v>
      </c>
    </row>
    <row r="212" spans="1:50" ht="13.5" customHeight="1" x14ac:dyDescent="0.2">
      <c r="A212" s="3" t="s">
        <v>11</v>
      </c>
      <c r="B212" s="3">
        <f>Results!$O$23</f>
        <v>18</v>
      </c>
      <c r="C212" s="11">
        <v>3</v>
      </c>
      <c r="D212" s="3">
        <f t="shared" ref="D212:D215" si="405">B212*C212</f>
        <v>54</v>
      </c>
      <c r="E212" s="3" t="s">
        <v>57</v>
      </c>
      <c r="F212" s="3">
        <f>Results!$O$28</f>
        <v>2</v>
      </c>
      <c r="G212" s="11">
        <v>3</v>
      </c>
      <c r="H212" s="3">
        <f t="shared" ref="H212:H215" si="406">F212*G212</f>
        <v>6</v>
      </c>
      <c r="I212" s="3" t="s">
        <v>18</v>
      </c>
      <c r="J212" s="3">
        <f>Results!$O$33</f>
        <v>2</v>
      </c>
      <c r="K212" s="11">
        <v>3</v>
      </c>
      <c r="L212" s="3">
        <f t="shared" ref="L212:L215" si="407">J212*K212</f>
        <v>6</v>
      </c>
      <c r="M212" s="3" t="s">
        <v>17</v>
      </c>
      <c r="N212" s="3">
        <f>Results!$O$38</f>
        <v>2</v>
      </c>
      <c r="O212" s="11">
        <v>3</v>
      </c>
      <c r="P212" s="3">
        <f t="shared" ref="P212:P215" si="408">N212*O212</f>
        <v>6</v>
      </c>
      <c r="R212" s="3" t="s">
        <v>11</v>
      </c>
      <c r="S212" s="3">
        <f>Results!$O$23</f>
        <v>18</v>
      </c>
      <c r="T212" s="11">
        <v>3</v>
      </c>
      <c r="U212" s="3">
        <f t="shared" ref="U212:U215" si="409">S212*T212</f>
        <v>54</v>
      </c>
      <c r="V212" s="3" t="s">
        <v>57</v>
      </c>
      <c r="W212" s="3">
        <f>Results!$O$28</f>
        <v>2</v>
      </c>
      <c r="X212" s="11">
        <v>3</v>
      </c>
      <c r="Y212" s="3">
        <f t="shared" ref="Y212:Y215" si="410">W212*X212</f>
        <v>6</v>
      </c>
      <c r="Z212" s="3" t="s">
        <v>18</v>
      </c>
      <c r="AA212" s="3">
        <f>Results!$O$33</f>
        <v>2</v>
      </c>
      <c r="AB212" s="11">
        <v>3</v>
      </c>
      <c r="AC212" s="3">
        <f t="shared" ref="AC212:AC215" si="411">AA212*AB212</f>
        <v>6</v>
      </c>
      <c r="AD212" s="3" t="s">
        <v>17</v>
      </c>
      <c r="AE212" s="3">
        <f>Results!$O$38</f>
        <v>2</v>
      </c>
      <c r="AF212" s="11">
        <v>3</v>
      </c>
      <c r="AG212" s="3">
        <f t="shared" ref="AG212:AG215" si="412">AE212*AF212</f>
        <v>6</v>
      </c>
      <c r="AI212" s="3" t="s">
        <v>11</v>
      </c>
      <c r="AJ212" s="3">
        <f>Results!$O$23</f>
        <v>18</v>
      </c>
      <c r="AK212" s="11">
        <v>3</v>
      </c>
      <c r="AL212" s="3">
        <f t="shared" ref="AL212:AL215" si="413">AJ212*AK212</f>
        <v>54</v>
      </c>
      <c r="AM212" s="3" t="s">
        <v>57</v>
      </c>
      <c r="AN212" s="3">
        <f>Results!$O$28</f>
        <v>2</v>
      </c>
      <c r="AO212" s="11">
        <v>5</v>
      </c>
      <c r="AP212" s="3">
        <f t="shared" ref="AP212:AP215" si="414">AN212*AO212</f>
        <v>10</v>
      </c>
      <c r="AQ212" s="3" t="s">
        <v>18</v>
      </c>
      <c r="AR212" s="3">
        <f>Results!$O$33</f>
        <v>2</v>
      </c>
      <c r="AS212" s="11">
        <v>2</v>
      </c>
      <c r="AT212" s="3">
        <f t="shared" ref="AT212:AT215" si="415">AR212*AS212</f>
        <v>4</v>
      </c>
      <c r="AU212" s="3" t="s">
        <v>17</v>
      </c>
      <c r="AV212" s="3">
        <f>Results!$O$38</f>
        <v>2</v>
      </c>
      <c r="AW212" s="11">
        <v>3</v>
      </c>
      <c r="AX212" s="3">
        <f t="shared" ref="AX212:AX215" si="416">AV212*AW212</f>
        <v>6</v>
      </c>
    </row>
    <row r="213" spans="1:50" ht="13.5" customHeight="1" x14ac:dyDescent="0.2">
      <c r="A213" s="3" t="s">
        <v>108</v>
      </c>
      <c r="B213" s="3">
        <f>Results!$O$24</f>
        <v>-5</v>
      </c>
      <c r="C213" s="11"/>
      <c r="D213" s="3">
        <f t="shared" si="405"/>
        <v>0</v>
      </c>
      <c r="E213" s="3" t="s">
        <v>75</v>
      </c>
      <c r="F213" s="3">
        <f>Results!$O$29</f>
        <v>5</v>
      </c>
      <c r="G213" s="11">
        <v>2</v>
      </c>
      <c r="H213" s="3">
        <f t="shared" si="406"/>
        <v>10</v>
      </c>
      <c r="I213" s="3" t="s">
        <v>111</v>
      </c>
      <c r="J213" s="3">
        <f>Results!$O$34</f>
        <v>2</v>
      </c>
      <c r="K213" s="11">
        <v>2</v>
      </c>
      <c r="L213" s="3">
        <f t="shared" si="407"/>
        <v>4</v>
      </c>
      <c r="M213" s="3" t="s">
        <v>113</v>
      </c>
      <c r="N213" s="3">
        <f>Results!$O$39</f>
        <v>2</v>
      </c>
      <c r="O213" s="11"/>
      <c r="P213" s="3">
        <f t="shared" si="408"/>
        <v>0</v>
      </c>
      <c r="R213" s="3" t="s">
        <v>108</v>
      </c>
      <c r="S213" s="3">
        <f>Results!$O$24</f>
        <v>-5</v>
      </c>
      <c r="T213" s="11"/>
      <c r="U213" s="3">
        <f t="shared" si="409"/>
        <v>0</v>
      </c>
      <c r="V213" s="3" t="s">
        <v>75</v>
      </c>
      <c r="W213" s="3">
        <f>Results!$O$29</f>
        <v>5</v>
      </c>
      <c r="X213" s="11">
        <v>2</v>
      </c>
      <c r="Y213" s="3">
        <f t="shared" si="410"/>
        <v>10</v>
      </c>
      <c r="Z213" s="3" t="s">
        <v>111</v>
      </c>
      <c r="AA213" s="3">
        <f>Results!$O$34</f>
        <v>2</v>
      </c>
      <c r="AB213" s="11">
        <v>2</v>
      </c>
      <c r="AC213" s="3">
        <f t="shared" si="411"/>
        <v>4</v>
      </c>
      <c r="AD213" s="3" t="s">
        <v>113</v>
      </c>
      <c r="AE213" s="3">
        <f>Results!$O$39</f>
        <v>2</v>
      </c>
      <c r="AF213" s="11"/>
      <c r="AG213" s="3">
        <f t="shared" si="412"/>
        <v>0</v>
      </c>
      <c r="AI213" s="3" t="s">
        <v>108</v>
      </c>
      <c r="AJ213" s="3">
        <f>Results!$O$24</f>
        <v>-5</v>
      </c>
      <c r="AK213" s="11"/>
      <c r="AL213" s="3">
        <f t="shared" si="413"/>
        <v>0</v>
      </c>
      <c r="AM213" s="3" t="s">
        <v>75</v>
      </c>
      <c r="AN213" s="3">
        <f>Results!$O$29</f>
        <v>5</v>
      </c>
      <c r="AO213" s="11">
        <v>3</v>
      </c>
      <c r="AP213" s="3">
        <f t="shared" si="414"/>
        <v>15</v>
      </c>
      <c r="AQ213" s="3" t="s">
        <v>111</v>
      </c>
      <c r="AR213" s="3">
        <f>Results!$O$34</f>
        <v>2</v>
      </c>
      <c r="AS213" s="11">
        <v>3</v>
      </c>
      <c r="AT213" s="3">
        <f t="shared" si="415"/>
        <v>6</v>
      </c>
      <c r="AU213" s="3" t="s">
        <v>113</v>
      </c>
      <c r="AV213" s="3">
        <f>Results!$O$39</f>
        <v>2</v>
      </c>
      <c r="AW213" s="11"/>
      <c r="AX213" s="3">
        <f t="shared" si="416"/>
        <v>0</v>
      </c>
    </row>
    <row r="214" spans="1:50" ht="13.5" customHeight="1" x14ac:dyDescent="0.2">
      <c r="A214" s="3" t="s">
        <v>109</v>
      </c>
      <c r="B214" s="3">
        <f>Results!$O$25</f>
        <v>4</v>
      </c>
      <c r="C214" s="11">
        <v>1</v>
      </c>
      <c r="D214" s="3">
        <f t="shared" si="405"/>
        <v>4</v>
      </c>
      <c r="E214" s="3" t="s">
        <v>110</v>
      </c>
      <c r="F214" s="3">
        <f>Results!$O$30</f>
        <v>14</v>
      </c>
      <c r="G214" s="11">
        <v>1</v>
      </c>
      <c r="H214" s="3">
        <f t="shared" si="406"/>
        <v>14</v>
      </c>
      <c r="I214" s="3" t="s">
        <v>67</v>
      </c>
      <c r="J214" s="3">
        <f>Results!$O$35</f>
        <v>4</v>
      </c>
      <c r="K214" s="11">
        <v>1</v>
      </c>
      <c r="L214" s="3">
        <f t="shared" si="407"/>
        <v>4</v>
      </c>
      <c r="M214" s="3" t="s">
        <v>70</v>
      </c>
      <c r="N214" s="3">
        <f>Results!$O$40</f>
        <v>3</v>
      </c>
      <c r="O214" s="11">
        <v>1</v>
      </c>
      <c r="P214" s="3">
        <f t="shared" si="408"/>
        <v>3</v>
      </c>
      <c r="R214" s="3" t="s">
        <v>109</v>
      </c>
      <c r="S214" s="3">
        <f>Results!$O$25</f>
        <v>4</v>
      </c>
      <c r="T214" s="11">
        <v>1</v>
      </c>
      <c r="U214" s="3">
        <f t="shared" si="409"/>
        <v>4</v>
      </c>
      <c r="V214" s="3" t="s">
        <v>110</v>
      </c>
      <c r="W214" s="3">
        <f>Results!$O$30</f>
        <v>14</v>
      </c>
      <c r="X214" s="11">
        <v>1</v>
      </c>
      <c r="Y214" s="3">
        <f t="shared" si="410"/>
        <v>14</v>
      </c>
      <c r="Z214" s="3" t="s">
        <v>67</v>
      </c>
      <c r="AA214" s="3">
        <f>Results!$O$35</f>
        <v>4</v>
      </c>
      <c r="AB214" s="11">
        <v>1</v>
      </c>
      <c r="AC214" s="3">
        <f t="shared" si="411"/>
        <v>4</v>
      </c>
      <c r="AD214" s="3" t="s">
        <v>70</v>
      </c>
      <c r="AE214" s="3">
        <f>Results!$O$40</f>
        <v>3</v>
      </c>
      <c r="AF214" s="11">
        <v>2</v>
      </c>
      <c r="AG214" s="3">
        <f t="shared" si="412"/>
        <v>6</v>
      </c>
      <c r="AI214" s="3" t="s">
        <v>109</v>
      </c>
      <c r="AJ214" s="3">
        <f>Results!$O$25</f>
        <v>4</v>
      </c>
      <c r="AK214" s="11">
        <v>2</v>
      </c>
      <c r="AL214" s="3">
        <f t="shared" si="413"/>
        <v>8</v>
      </c>
      <c r="AM214" s="3" t="s">
        <v>110</v>
      </c>
      <c r="AN214" s="3">
        <f>Results!$O$30</f>
        <v>14</v>
      </c>
      <c r="AO214" s="11">
        <v>2</v>
      </c>
      <c r="AP214" s="3">
        <f t="shared" si="414"/>
        <v>28</v>
      </c>
      <c r="AQ214" s="3" t="s">
        <v>67</v>
      </c>
      <c r="AR214" s="3">
        <f>Results!$O$35</f>
        <v>4</v>
      </c>
      <c r="AS214" s="11"/>
      <c r="AT214" s="3">
        <f t="shared" si="415"/>
        <v>0</v>
      </c>
      <c r="AU214" s="3" t="s">
        <v>70</v>
      </c>
      <c r="AV214" s="3">
        <f>Results!$O$40</f>
        <v>3</v>
      </c>
      <c r="AW214" s="11">
        <v>1</v>
      </c>
      <c r="AX214" s="3">
        <f t="shared" si="416"/>
        <v>3</v>
      </c>
    </row>
    <row r="215" spans="1:50" ht="13.5" customHeight="1" x14ac:dyDescent="0.2">
      <c r="A215" s="24" t="s">
        <v>91</v>
      </c>
      <c r="B215" s="24">
        <f>Results!$O$26</f>
        <v>-2</v>
      </c>
      <c r="C215" s="25">
        <v>2</v>
      </c>
      <c r="D215" s="24">
        <f t="shared" si="405"/>
        <v>-4</v>
      </c>
      <c r="E215" s="24" t="s">
        <v>73</v>
      </c>
      <c r="F215" s="24">
        <f>Results!$O$31</f>
        <v>-4</v>
      </c>
      <c r="G215" s="25"/>
      <c r="H215" s="24">
        <f t="shared" si="406"/>
        <v>0</v>
      </c>
      <c r="I215" s="24" t="s">
        <v>112</v>
      </c>
      <c r="J215" s="24">
        <f>Results!$O$36</f>
        <v>5</v>
      </c>
      <c r="K215" s="25"/>
      <c r="L215" s="24">
        <f t="shared" si="407"/>
        <v>0</v>
      </c>
      <c r="M215" s="24" t="s">
        <v>84</v>
      </c>
      <c r="N215" s="24">
        <f>Results!$O$41</f>
        <v>4</v>
      </c>
      <c r="O215" s="25">
        <v>2</v>
      </c>
      <c r="P215" s="24">
        <f t="shared" si="408"/>
        <v>8</v>
      </c>
      <c r="R215" s="24" t="s">
        <v>91</v>
      </c>
      <c r="S215" s="24">
        <f>Results!$O$26</f>
        <v>-2</v>
      </c>
      <c r="T215" s="25">
        <v>2</v>
      </c>
      <c r="U215" s="24">
        <f t="shared" si="409"/>
        <v>-4</v>
      </c>
      <c r="V215" s="24" t="s">
        <v>73</v>
      </c>
      <c r="W215" s="24">
        <f>Results!$O$31</f>
        <v>-4</v>
      </c>
      <c r="X215" s="25"/>
      <c r="Y215" s="24">
        <f t="shared" si="410"/>
        <v>0</v>
      </c>
      <c r="Z215" s="24" t="s">
        <v>112</v>
      </c>
      <c r="AA215" s="24">
        <f>Results!$O$36</f>
        <v>5</v>
      </c>
      <c r="AB215" s="25"/>
      <c r="AC215" s="24">
        <f t="shared" si="411"/>
        <v>0</v>
      </c>
      <c r="AD215" s="24" t="s">
        <v>84</v>
      </c>
      <c r="AE215" s="24">
        <f>Results!$O$41</f>
        <v>4</v>
      </c>
      <c r="AF215" s="25">
        <v>1</v>
      </c>
      <c r="AG215" s="24">
        <f t="shared" si="412"/>
        <v>4</v>
      </c>
      <c r="AI215" s="24" t="s">
        <v>91</v>
      </c>
      <c r="AJ215" s="24">
        <f>Results!$O$26</f>
        <v>-2</v>
      </c>
      <c r="AK215" s="25">
        <v>1</v>
      </c>
      <c r="AL215" s="24">
        <f t="shared" si="413"/>
        <v>-2</v>
      </c>
      <c r="AM215" s="24" t="s">
        <v>73</v>
      </c>
      <c r="AN215" s="24">
        <f>Results!$O$31</f>
        <v>-4</v>
      </c>
      <c r="AO215" s="25">
        <v>1</v>
      </c>
      <c r="AP215" s="24">
        <f t="shared" si="414"/>
        <v>-4</v>
      </c>
      <c r="AQ215" s="24" t="s">
        <v>112</v>
      </c>
      <c r="AR215" s="24">
        <f>Results!$O$36</f>
        <v>5</v>
      </c>
      <c r="AS215" s="25">
        <v>1</v>
      </c>
      <c r="AT215" s="24">
        <f t="shared" si="415"/>
        <v>5</v>
      </c>
      <c r="AU215" s="24" t="s">
        <v>84</v>
      </c>
      <c r="AV215" s="24">
        <f>Results!$O$41</f>
        <v>4</v>
      </c>
      <c r="AW215" s="25">
        <v>2</v>
      </c>
      <c r="AX215" s="24">
        <f t="shared" si="416"/>
        <v>8</v>
      </c>
    </row>
    <row r="216" spans="1:50" ht="13.5" customHeight="1" x14ac:dyDescent="0.2">
      <c r="A216" s="14" t="s">
        <v>97</v>
      </c>
      <c r="B216" s="15" t="s">
        <v>51</v>
      </c>
      <c r="C216" s="16" t="s">
        <v>21</v>
      </c>
      <c r="D216" s="15" t="s">
        <v>49</v>
      </c>
      <c r="E216" s="15" t="s">
        <v>98</v>
      </c>
      <c r="F216" s="15" t="s">
        <v>51</v>
      </c>
      <c r="G216" s="16" t="s">
        <v>21</v>
      </c>
      <c r="H216" s="15" t="s">
        <v>49</v>
      </c>
      <c r="I216" s="15" t="s">
        <v>99</v>
      </c>
      <c r="J216" s="15" t="s">
        <v>51</v>
      </c>
      <c r="K216" s="16" t="s">
        <v>21</v>
      </c>
      <c r="L216" s="15" t="s">
        <v>49</v>
      </c>
      <c r="M216" s="15" t="s">
        <v>100</v>
      </c>
      <c r="N216" s="15" t="s">
        <v>51</v>
      </c>
      <c r="O216" s="16" t="s">
        <v>21</v>
      </c>
      <c r="P216" s="15" t="s">
        <v>49</v>
      </c>
      <c r="R216" s="14" t="s">
        <v>97</v>
      </c>
      <c r="S216" s="15" t="s">
        <v>51</v>
      </c>
      <c r="T216" s="16" t="s">
        <v>21</v>
      </c>
      <c r="U216" s="15" t="s">
        <v>49</v>
      </c>
      <c r="V216" s="15" t="s">
        <v>98</v>
      </c>
      <c r="W216" s="15" t="s">
        <v>51</v>
      </c>
      <c r="X216" s="16" t="s">
        <v>21</v>
      </c>
      <c r="Y216" s="15" t="s">
        <v>49</v>
      </c>
      <c r="Z216" s="15" t="s">
        <v>99</v>
      </c>
      <c r="AA216" s="15" t="s">
        <v>51</v>
      </c>
      <c r="AB216" s="16" t="s">
        <v>21</v>
      </c>
      <c r="AC216" s="15" t="s">
        <v>49</v>
      </c>
      <c r="AD216" s="15" t="s">
        <v>100</v>
      </c>
      <c r="AE216" s="15" t="s">
        <v>51</v>
      </c>
      <c r="AF216" s="16" t="s">
        <v>21</v>
      </c>
      <c r="AG216" s="15" t="s">
        <v>49</v>
      </c>
      <c r="AI216" s="14" t="s">
        <v>97</v>
      </c>
      <c r="AJ216" s="15" t="s">
        <v>51</v>
      </c>
      <c r="AK216" s="16" t="s">
        <v>21</v>
      </c>
      <c r="AL216" s="15" t="s">
        <v>49</v>
      </c>
      <c r="AM216" s="15" t="s">
        <v>98</v>
      </c>
      <c r="AN216" s="15" t="s">
        <v>51</v>
      </c>
      <c r="AO216" s="16" t="s">
        <v>21</v>
      </c>
      <c r="AP216" s="15" t="s">
        <v>49</v>
      </c>
      <c r="AQ216" s="15" t="s">
        <v>99</v>
      </c>
      <c r="AR216" s="15" t="s">
        <v>51</v>
      </c>
      <c r="AS216" s="16" t="s">
        <v>21</v>
      </c>
      <c r="AT216" s="15" t="s">
        <v>49</v>
      </c>
      <c r="AU216" s="15" t="s">
        <v>100</v>
      </c>
      <c r="AV216" s="15" t="s">
        <v>51</v>
      </c>
      <c r="AW216" s="16" t="s">
        <v>21</v>
      </c>
      <c r="AX216" s="15" t="s">
        <v>49</v>
      </c>
    </row>
    <row r="217" spans="1:50" ht="13.5" customHeight="1" x14ac:dyDescent="0.2">
      <c r="A217" s="3" t="s">
        <v>8</v>
      </c>
      <c r="B217" s="3">
        <f>Results!$O$43</f>
        <v>10</v>
      </c>
      <c r="C217" s="11">
        <v>3</v>
      </c>
      <c r="D217" s="3">
        <f t="shared" ref="D217:D220" si="417">B217*C217</f>
        <v>30</v>
      </c>
      <c r="E217" s="3" t="s">
        <v>69</v>
      </c>
      <c r="F217" s="3">
        <f>Results!$O$48</f>
        <v>11</v>
      </c>
      <c r="G217" s="11">
        <v>3</v>
      </c>
      <c r="H217" s="3">
        <f t="shared" ref="H217:H220" si="418">F217*G217</f>
        <v>33</v>
      </c>
      <c r="I217" s="3" t="s">
        <v>19</v>
      </c>
      <c r="J217" s="3">
        <f>Results!$O$53</f>
        <v>1</v>
      </c>
      <c r="K217" s="11">
        <v>3</v>
      </c>
      <c r="L217" s="3">
        <f t="shared" ref="L217:L220" si="419">J217*K217</f>
        <v>3</v>
      </c>
      <c r="M217" s="3" t="s">
        <v>10</v>
      </c>
      <c r="N217" s="3">
        <f>Results!$O$58</f>
        <v>11</v>
      </c>
      <c r="O217" s="11">
        <v>5</v>
      </c>
      <c r="P217" s="3">
        <f t="shared" ref="P217:P220" si="420">N217*O217</f>
        <v>55</v>
      </c>
      <c r="R217" s="3" t="s">
        <v>8</v>
      </c>
      <c r="S217" s="3">
        <f>Results!$O$43</f>
        <v>10</v>
      </c>
      <c r="T217" s="11">
        <v>3</v>
      </c>
      <c r="U217" s="3">
        <f t="shared" ref="U217:U220" si="421">S217*T217</f>
        <v>30</v>
      </c>
      <c r="V217" s="3" t="s">
        <v>69</v>
      </c>
      <c r="W217" s="3">
        <f>Results!$O$48</f>
        <v>11</v>
      </c>
      <c r="X217" s="11">
        <v>3</v>
      </c>
      <c r="Y217" s="3">
        <f t="shared" ref="Y217:Y220" si="422">W217*X217</f>
        <v>33</v>
      </c>
      <c r="Z217" s="3" t="s">
        <v>19</v>
      </c>
      <c r="AA217" s="3">
        <f>Results!$O$53</f>
        <v>1</v>
      </c>
      <c r="AB217" s="11">
        <v>3</v>
      </c>
      <c r="AC217" s="3">
        <f t="shared" ref="AC217:AC220" si="423">AA217*AB217</f>
        <v>3</v>
      </c>
      <c r="AD217" s="3" t="s">
        <v>10</v>
      </c>
      <c r="AE217" s="3">
        <f>Results!$O$58</f>
        <v>11</v>
      </c>
      <c r="AF217" s="11">
        <v>3</v>
      </c>
      <c r="AG217" s="3">
        <f t="shared" ref="AG217:AG220" si="424">AE217*AF217</f>
        <v>33</v>
      </c>
      <c r="AI217" s="3" t="s">
        <v>8</v>
      </c>
      <c r="AJ217" s="3">
        <f>Results!$O$43</f>
        <v>10</v>
      </c>
      <c r="AK217" s="11">
        <v>2</v>
      </c>
      <c r="AL217" s="3">
        <f t="shared" ref="AL217:AL220" si="425">AJ217*AK217</f>
        <v>20</v>
      </c>
      <c r="AM217" s="3" t="s">
        <v>69</v>
      </c>
      <c r="AN217" s="3">
        <f>Results!$O$48</f>
        <v>11</v>
      </c>
      <c r="AO217" s="11">
        <v>3</v>
      </c>
      <c r="AP217" s="3">
        <f t="shared" ref="AP217:AP220" si="426">AN217*AO217</f>
        <v>33</v>
      </c>
      <c r="AQ217" s="3" t="s">
        <v>19</v>
      </c>
      <c r="AR217" s="3">
        <f>Results!$O$53</f>
        <v>1</v>
      </c>
      <c r="AS217" s="11">
        <v>2</v>
      </c>
      <c r="AT217" s="3">
        <f t="shared" ref="AT217:AT220" si="427">AR217*AS217</f>
        <v>2</v>
      </c>
      <c r="AU217" s="3" t="s">
        <v>10</v>
      </c>
      <c r="AV217" s="3">
        <f>Results!$O$58</f>
        <v>11</v>
      </c>
      <c r="AW217" s="11">
        <v>3</v>
      </c>
      <c r="AX217" s="3">
        <f t="shared" ref="AX217:AX220" si="428">AV217*AW217</f>
        <v>33</v>
      </c>
    </row>
    <row r="218" spans="1:50" ht="13.5" customHeight="1" x14ac:dyDescent="0.2">
      <c r="A218" s="3" t="s">
        <v>66</v>
      </c>
      <c r="B218" s="3">
        <f>Results!$O$44</f>
        <v>-1</v>
      </c>
      <c r="C218" s="11">
        <v>1</v>
      </c>
      <c r="D218" s="3">
        <f t="shared" si="417"/>
        <v>-1</v>
      </c>
      <c r="E218" s="3" t="s">
        <v>116</v>
      </c>
      <c r="F218" s="3">
        <f>Results!$O$49</f>
        <v>-3</v>
      </c>
      <c r="G218" s="11"/>
      <c r="H218" s="3">
        <f t="shared" si="418"/>
        <v>0</v>
      </c>
      <c r="I218" s="3" t="s">
        <v>119</v>
      </c>
      <c r="J218" s="3">
        <f>Results!$O$54</f>
        <v>3</v>
      </c>
      <c r="K218" s="11">
        <v>1</v>
      </c>
      <c r="L218" s="3">
        <f t="shared" si="419"/>
        <v>3</v>
      </c>
      <c r="M218" s="3" t="s">
        <v>16</v>
      </c>
      <c r="N218" s="3">
        <f>Results!$O$59</f>
        <v>0</v>
      </c>
      <c r="O218" s="11">
        <v>3</v>
      </c>
      <c r="P218" s="3">
        <f t="shared" si="420"/>
        <v>0</v>
      </c>
      <c r="R218" s="3" t="s">
        <v>66</v>
      </c>
      <c r="S218" s="3">
        <f>Results!$O$44</f>
        <v>-1</v>
      </c>
      <c r="T218" s="11">
        <v>1</v>
      </c>
      <c r="U218" s="3">
        <f t="shared" si="421"/>
        <v>-1</v>
      </c>
      <c r="V218" s="3" t="s">
        <v>116</v>
      </c>
      <c r="W218" s="3">
        <f>Results!$O$49</f>
        <v>-3</v>
      </c>
      <c r="X218" s="11">
        <v>2</v>
      </c>
      <c r="Y218" s="3">
        <f t="shared" si="422"/>
        <v>-6</v>
      </c>
      <c r="Z218" s="3" t="s">
        <v>119</v>
      </c>
      <c r="AA218" s="3">
        <f>Results!$O$54</f>
        <v>3</v>
      </c>
      <c r="AB218" s="11"/>
      <c r="AC218" s="3">
        <f t="shared" si="423"/>
        <v>0</v>
      </c>
      <c r="AD218" s="3" t="s">
        <v>16</v>
      </c>
      <c r="AE218" s="3">
        <f>Results!$O$59</f>
        <v>0</v>
      </c>
      <c r="AF218" s="11">
        <v>2</v>
      </c>
      <c r="AG218" s="3">
        <f t="shared" si="424"/>
        <v>0</v>
      </c>
      <c r="AI218" s="3" t="s">
        <v>66</v>
      </c>
      <c r="AJ218" s="3">
        <f>Results!$O$44</f>
        <v>-1</v>
      </c>
      <c r="AK218" s="11">
        <v>1</v>
      </c>
      <c r="AL218" s="3">
        <f t="shared" si="425"/>
        <v>-1</v>
      </c>
      <c r="AM218" s="3" t="s">
        <v>116</v>
      </c>
      <c r="AN218" s="3">
        <f>Results!$O$49</f>
        <v>-3</v>
      </c>
      <c r="AO218" s="11">
        <v>1</v>
      </c>
      <c r="AP218" s="3">
        <f t="shared" si="426"/>
        <v>-3</v>
      </c>
      <c r="AQ218" s="3" t="s">
        <v>119</v>
      </c>
      <c r="AR218" s="3">
        <f>Results!$O$54</f>
        <v>3</v>
      </c>
      <c r="AS218" s="11">
        <v>1</v>
      </c>
      <c r="AT218" s="3">
        <f t="shared" si="427"/>
        <v>3</v>
      </c>
      <c r="AU218" s="3" t="s">
        <v>16</v>
      </c>
      <c r="AV218" s="3">
        <f>Results!$O$59</f>
        <v>0</v>
      </c>
      <c r="AW218" s="11">
        <v>1</v>
      </c>
      <c r="AX218" s="3">
        <f t="shared" si="428"/>
        <v>0</v>
      </c>
    </row>
    <row r="219" spans="1:50" ht="13.5" customHeight="1" x14ac:dyDescent="0.2">
      <c r="A219" s="3" t="s">
        <v>114</v>
      </c>
      <c r="B219" s="3">
        <f>Results!$O$45</f>
        <v>-3</v>
      </c>
      <c r="C219" s="11"/>
      <c r="D219" s="3">
        <f t="shared" si="417"/>
        <v>0</v>
      </c>
      <c r="E219" s="3" t="s">
        <v>117</v>
      </c>
      <c r="F219" s="3">
        <f>Results!$O$50</f>
        <v>9</v>
      </c>
      <c r="G219" s="11">
        <v>2</v>
      </c>
      <c r="H219" s="3">
        <f t="shared" si="418"/>
        <v>18</v>
      </c>
      <c r="I219" s="3" t="s">
        <v>120</v>
      </c>
      <c r="J219" s="3">
        <f>Results!$O$55</f>
        <v>-2</v>
      </c>
      <c r="K219" s="11"/>
      <c r="L219" s="3">
        <f t="shared" si="419"/>
        <v>0</v>
      </c>
      <c r="M219" s="3" t="s">
        <v>83</v>
      </c>
      <c r="N219" s="3">
        <f>Results!$O$60</f>
        <v>6</v>
      </c>
      <c r="O219" s="11">
        <v>1</v>
      </c>
      <c r="P219" s="3">
        <f t="shared" si="420"/>
        <v>6</v>
      </c>
      <c r="R219" s="3" t="s">
        <v>114</v>
      </c>
      <c r="S219" s="3">
        <f>Results!$O$45</f>
        <v>-3</v>
      </c>
      <c r="T219" s="11"/>
      <c r="U219" s="3">
        <f t="shared" si="421"/>
        <v>0</v>
      </c>
      <c r="V219" s="3" t="s">
        <v>117</v>
      </c>
      <c r="W219" s="3">
        <f>Results!$O$50</f>
        <v>9</v>
      </c>
      <c r="X219" s="11">
        <v>1</v>
      </c>
      <c r="Y219" s="3">
        <f t="shared" si="422"/>
        <v>9</v>
      </c>
      <c r="Z219" s="3" t="s">
        <v>120</v>
      </c>
      <c r="AA219" s="3">
        <f>Results!$O$55</f>
        <v>-2</v>
      </c>
      <c r="AB219" s="11">
        <v>1</v>
      </c>
      <c r="AC219" s="3">
        <f t="shared" si="423"/>
        <v>-2</v>
      </c>
      <c r="AD219" s="3" t="s">
        <v>83</v>
      </c>
      <c r="AE219" s="3">
        <f>Results!$O$60</f>
        <v>6</v>
      </c>
      <c r="AF219" s="11">
        <v>1</v>
      </c>
      <c r="AG219" s="3">
        <f t="shared" si="424"/>
        <v>6</v>
      </c>
      <c r="AI219" s="3" t="s">
        <v>114</v>
      </c>
      <c r="AJ219" s="3">
        <f>Results!$O$45</f>
        <v>-3</v>
      </c>
      <c r="AK219" s="11"/>
      <c r="AL219" s="3">
        <f t="shared" si="425"/>
        <v>0</v>
      </c>
      <c r="AM219" s="3" t="s">
        <v>117</v>
      </c>
      <c r="AN219" s="3">
        <f>Results!$O$50</f>
        <v>9</v>
      </c>
      <c r="AO219" s="11">
        <v>2</v>
      </c>
      <c r="AP219" s="3">
        <f t="shared" si="426"/>
        <v>18</v>
      </c>
      <c r="AQ219" s="3" t="s">
        <v>120</v>
      </c>
      <c r="AR219" s="3">
        <f>Results!$O$55</f>
        <v>-2</v>
      </c>
      <c r="AS219" s="11"/>
      <c r="AT219" s="3">
        <f t="shared" si="427"/>
        <v>0</v>
      </c>
      <c r="AU219" s="3" t="s">
        <v>83</v>
      </c>
      <c r="AV219" s="3">
        <f>Results!$O$60</f>
        <v>6</v>
      </c>
      <c r="AW219" s="11">
        <v>2</v>
      </c>
      <c r="AX219" s="3">
        <f t="shared" si="428"/>
        <v>12</v>
      </c>
    </row>
    <row r="220" spans="1:50" ht="13.5" customHeight="1" thickBot="1" x14ac:dyDescent="0.25">
      <c r="A220" s="19" t="s">
        <v>115</v>
      </c>
      <c r="B220" s="19">
        <f>Results!$O$46</f>
        <v>12</v>
      </c>
      <c r="C220" s="20">
        <v>2</v>
      </c>
      <c r="D220" s="19">
        <f t="shared" si="417"/>
        <v>24</v>
      </c>
      <c r="E220" s="19" t="s">
        <v>118</v>
      </c>
      <c r="F220" s="19">
        <f>Results!$O$51</f>
        <v>-1</v>
      </c>
      <c r="G220" s="20">
        <v>1</v>
      </c>
      <c r="H220" s="19">
        <f t="shared" si="418"/>
        <v>-1</v>
      </c>
      <c r="I220" s="19" t="s">
        <v>121</v>
      </c>
      <c r="J220" s="19">
        <f>Results!$O$56</f>
        <v>9</v>
      </c>
      <c r="K220" s="20">
        <v>2</v>
      </c>
      <c r="L220" s="19">
        <f t="shared" si="419"/>
        <v>18</v>
      </c>
      <c r="M220" s="19" t="s">
        <v>122</v>
      </c>
      <c r="N220" s="19">
        <f>Results!$O$61</f>
        <v>-3</v>
      </c>
      <c r="O220" s="20">
        <v>2</v>
      </c>
      <c r="P220" s="19">
        <f t="shared" si="420"/>
        <v>-6</v>
      </c>
      <c r="R220" s="19" t="s">
        <v>115</v>
      </c>
      <c r="S220" s="19">
        <f>Results!$O$46</f>
        <v>12</v>
      </c>
      <c r="T220" s="20">
        <v>2</v>
      </c>
      <c r="U220" s="19">
        <f t="shared" si="421"/>
        <v>24</v>
      </c>
      <c r="V220" s="19" t="s">
        <v>118</v>
      </c>
      <c r="W220" s="19">
        <f>Results!$O$51</f>
        <v>-1</v>
      </c>
      <c r="X220" s="20"/>
      <c r="Y220" s="19">
        <f t="shared" si="422"/>
        <v>0</v>
      </c>
      <c r="Z220" s="19" t="s">
        <v>121</v>
      </c>
      <c r="AA220" s="19">
        <f>Results!$O$56</f>
        <v>9</v>
      </c>
      <c r="AB220" s="20">
        <v>2</v>
      </c>
      <c r="AC220" s="19">
        <f t="shared" si="423"/>
        <v>18</v>
      </c>
      <c r="AD220" s="19" t="s">
        <v>122</v>
      </c>
      <c r="AE220" s="19">
        <f>Results!$O$61</f>
        <v>-3</v>
      </c>
      <c r="AF220" s="20"/>
      <c r="AG220" s="19">
        <f t="shared" si="424"/>
        <v>0</v>
      </c>
      <c r="AI220" s="19" t="s">
        <v>115</v>
      </c>
      <c r="AJ220" s="19">
        <f>Results!$O$46</f>
        <v>12</v>
      </c>
      <c r="AK220" s="20">
        <v>3</v>
      </c>
      <c r="AL220" s="19">
        <f t="shared" si="425"/>
        <v>36</v>
      </c>
      <c r="AM220" s="19" t="s">
        <v>118</v>
      </c>
      <c r="AN220" s="19">
        <f>Results!$O$51</f>
        <v>-1</v>
      </c>
      <c r="AO220" s="20"/>
      <c r="AP220" s="19">
        <f t="shared" si="426"/>
        <v>0</v>
      </c>
      <c r="AQ220" s="19" t="s">
        <v>121</v>
      </c>
      <c r="AR220" s="19">
        <f>Results!$O$56</f>
        <v>9</v>
      </c>
      <c r="AS220" s="20">
        <v>3</v>
      </c>
      <c r="AT220" s="19">
        <f t="shared" si="427"/>
        <v>27</v>
      </c>
      <c r="AU220" s="19" t="s">
        <v>122</v>
      </c>
      <c r="AV220" s="19">
        <f>Results!$O$61</f>
        <v>-3</v>
      </c>
      <c r="AW220" s="20"/>
      <c r="AX220" s="19">
        <f t="shared" si="428"/>
        <v>0</v>
      </c>
    </row>
    <row r="221" spans="1:50" s="27" customFormat="1" ht="13.5" customHeight="1" thickBot="1" x14ac:dyDescent="0.25">
      <c r="A221" s="35"/>
      <c r="B221" s="36"/>
      <c r="C221" s="37"/>
      <c r="D221" s="36"/>
      <c r="E221" s="36"/>
      <c r="F221" s="36"/>
      <c r="G221" s="37"/>
      <c r="H221" s="36"/>
      <c r="I221" s="36"/>
      <c r="J221" s="36"/>
      <c r="K221" s="37"/>
      <c r="L221" s="36"/>
      <c r="M221" s="36"/>
      <c r="N221" s="36"/>
      <c r="O221" s="37"/>
      <c r="P221" s="36"/>
      <c r="R221" s="35"/>
      <c r="S221" s="36"/>
      <c r="T221" s="37"/>
      <c r="U221" s="36"/>
      <c r="V221" s="36"/>
      <c r="W221" s="36"/>
      <c r="X221" s="37"/>
      <c r="Y221" s="36"/>
      <c r="Z221" s="36"/>
      <c r="AA221" s="36"/>
      <c r="AB221" s="37"/>
      <c r="AC221" s="36"/>
      <c r="AD221" s="36"/>
      <c r="AE221" s="36"/>
      <c r="AF221" s="37"/>
      <c r="AG221" s="36"/>
      <c r="AI221" s="35"/>
      <c r="AJ221" s="36"/>
      <c r="AK221" s="37"/>
      <c r="AL221" s="36"/>
      <c r="AM221" s="36"/>
      <c r="AN221" s="36"/>
      <c r="AO221" s="37"/>
      <c r="AP221" s="36"/>
      <c r="AQ221" s="36"/>
      <c r="AR221" s="36"/>
      <c r="AS221" s="37"/>
      <c r="AT221" s="36"/>
      <c r="AU221" s="36"/>
      <c r="AV221" s="36"/>
      <c r="AW221" s="37"/>
      <c r="AX221" s="36"/>
    </row>
    <row r="222" spans="1:50" ht="13.5" customHeight="1" x14ac:dyDescent="0.2">
      <c r="A222" s="12" t="s">
        <v>0</v>
      </c>
      <c r="B222" s="59" t="s">
        <v>155</v>
      </c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13" t="s">
        <v>50</v>
      </c>
      <c r="N222" s="61">
        <f>SUM(D224:D227,D229:D232,H224:H227, H229:H232,L224:L227,L229:L232,P224:P227,P229:P232,D234:D237,H234:H237,L234:L237,P234:P237)</f>
        <v>388</v>
      </c>
      <c r="O222" s="61"/>
      <c r="P222" s="66"/>
      <c r="R222" s="12" t="s">
        <v>0</v>
      </c>
      <c r="S222" s="59" t="s">
        <v>179</v>
      </c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13" t="s">
        <v>50</v>
      </c>
      <c r="AE222" s="61">
        <f>SUM(U224:U227,U229:U232,Y224:Y227, Y229:Y232,AC224:AC227,AC229:AC232,AG224:AG227,AG229:AG232,U234:U237,Y234:Y237,AC234:AC237,AG234:AG237)</f>
        <v>347</v>
      </c>
      <c r="AF222" s="61"/>
      <c r="AG222" s="66"/>
      <c r="AI222" s="12" t="s">
        <v>0</v>
      </c>
      <c r="AJ222" s="59" t="s">
        <v>162</v>
      </c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13" t="s">
        <v>50</v>
      </c>
      <c r="AV222" s="61">
        <f>SUM(AL224:AL227,AL229:AL232,AP224:AP227, AP229:AP232,AT224:AT227,AT229:AT232,AX224:AX227,AX229:AX232,AL234:AL237,AP234:AP237,AT234:AT237,AX234:AX237)</f>
        <v>350</v>
      </c>
      <c r="AW222" s="61"/>
      <c r="AX222" s="66"/>
    </row>
    <row r="223" spans="1:50" ht="13.5" customHeight="1" x14ac:dyDescent="0.2">
      <c r="A223" s="14" t="s">
        <v>3</v>
      </c>
      <c r="B223" s="15" t="s">
        <v>51</v>
      </c>
      <c r="C223" s="16" t="s">
        <v>21</v>
      </c>
      <c r="D223" s="15" t="s">
        <v>49</v>
      </c>
      <c r="E223" s="15" t="s">
        <v>6</v>
      </c>
      <c r="F223" s="15" t="s">
        <v>51</v>
      </c>
      <c r="G223" s="16" t="s">
        <v>21</v>
      </c>
      <c r="H223" s="15" t="s">
        <v>49</v>
      </c>
      <c r="I223" s="15" t="s">
        <v>7</v>
      </c>
      <c r="J223" s="15" t="s">
        <v>51</v>
      </c>
      <c r="K223" s="16" t="s">
        <v>21</v>
      </c>
      <c r="L223" s="15" t="s">
        <v>49</v>
      </c>
      <c r="M223" s="15" t="s">
        <v>13</v>
      </c>
      <c r="N223" s="15" t="s">
        <v>51</v>
      </c>
      <c r="O223" s="16" t="s">
        <v>21</v>
      </c>
      <c r="P223" s="17" t="s">
        <v>49</v>
      </c>
      <c r="R223" s="14" t="s">
        <v>3</v>
      </c>
      <c r="S223" s="15" t="s">
        <v>51</v>
      </c>
      <c r="T223" s="16" t="s">
        <v>21</v>
      </c>
      <c r="U223" s="15" t="s">
        <v>49</v>
      </c>
      <c r="V223" s="15" t="s">
        <v>6</v>
      </c>
      <c r="W223" s="15" t="s">
        <v>51</v>
      </c>
      <c r="X223" s="16" t="s">
        <v>21</v>
      </c>
      <c r="Y223" s="15" t="s">
        <v>49</v>
      </c>
      <c r="Z223" s="15" t="s">
        <v>7</v>
      </c>
      <c r="AA223" s="15" t="s">
        <v>51</v>
      </c>
      <c r="AB223" s="16" t="s">
        <v>21</v>
      </c>
      <c r="AC223" s="15" t="s">
        <v>49</v>
      </c>
      <c r="AD223" s="15" t="s">
        <v>13</v>
      </c>
      <c r="AE223" s="15" t="s">
        <v>51</v>
      </c>
      <c r="AF223" s="16" t="s">
        <v>21</v>
      </c>
      <c r="AG223" s="17" t="s">
        <v>49</v>
      </c>
      <c r="AI223" s="14" t="s">
        <v>3</v>
      </c>
      <c r="AJ223" s="15" t="s">
        <v>51</v>
      </c>
      <c r="AK223" s="16" t="s">
        <v>21</v>
      </c>
      <c r="AL223" s="15" t="s">
        <v>49</v>
      </c>
      <c r="AM223" s="15" t="s">
        <v>6</v>
      </c>
      <c r="AN223" s="15" t="s">
        <v>51</v>
      </c>
      <c r="AO223" s="16" t="s">
        <v>21</v>
      </c>
      <c r="AP223" s="15" t="s">
        <v>49</v>
      </c>
      <c r="AQ223" s="15" t="s">
        <v>7</v>
      </c>
      <c r="AR223" s="15" t="s">
        <v>51</v>
      </c>
      <c r="AS223" s="16" t="s">
        <v>21</v>
      </c>
      <c r="AT223" s="15" t="s">
        <v>49</v>
      </c>
      <c r="AU223" s="15" t="s">
        <v>13</v>
      </c>
      <c r="AV223" s="15" t="s">
        <v>51</v>
      </c>
      <c r="AW223" s="16" t="s">
        <v>21</v>
      </c>
      <c r="AX223" s="17" t="s">
        <v>49</v>
      </c>
    </row>
    <row r="224" spans="1:50" ht="13.5" customHeight="1" x14ac:dyDescent="0.2">
      <c r="A224" s="3" t="s">
        <v>71</v>
      </c>
      <c r="B224" s="3">
        <f>Results!$O$3</f>
        <v>3</v>
      </c>
      <c r="C224" s="11">
        <v>3</v>
      </c>
      <c r="D224" s="3">
        <f t="shared" ref="D224:D227" si="429">B224*C224</f>
        <v>9</v>
      </c>
      <c r="E224" s="3" t="s">
        <v>76</v>
      </c>
      <c r="F224" s="3">
        <f>Results!$O$8</f>
        <v>2</v>
      </c>
      <c r="G224" s="11">
        <v>2</v>
      </c>
      <c r="H224" s="3">
        <f t="shared" ref="H224:H227" si="430">F224*G224</f>
        <v>4</v>
      </c>
      <c r="I224" s="3" t="s">
        <v>80</v>
      </c>
      <c r="J224" s="3">
        <f>Results!$O$13</f>
        <v>2</v>
      </c>
      <c r="K224" s="11">
        <v>3</v>
      </c>
      <c r="L224" s="3">
        <f t="shared" ref="L224:L227" si="431">J224*K224</f>
        <v>6</v>
      </c>
      <c r="M224" s="3" t="s">
        <v>68</v>
      </c>
      <c r="N224" s="3">
        <f>Results!$O$18</f>
        <v>11</v>
      </c>
      <c r="O224" s="11">
        <v>3</v>
      </c>
      <c r="P224" s="18">
        <f>N224*O224</f>
        <v>33</v>
      </c>
      <c r="R224" s="3" t="s">
        <v>71</v>
      </c>
      <c r="S224" s="3">
        <f>Results!$O$3</f>
        <v>3</v>
      </c>
      <c r="T224" s="11">
        <v>2</v>
      </c>
      <c r="U224" s="3">
        <f t="shared" ref="U224:U227" si="432">S224*T224</f>
        <v>6</v>
      </c>
      <c r="V224" s="3" t="s">
        <v>76</v>
      </c>
      <c r="W224" s="3">
        <f>Results!$O$8</f>
        <v>2</v>
      </c>
      <c r="X224" s="11">
        <v>1</v>
      </c>
      <c r="Y224" s="3">
        <f t="shared" ref="Y224:Y227" si="433">W224*X224</f>
        <v>2</v>
      </c>
      <c r="Z224" s="3" t="s">
        <v>80</v>
      </c>
      <c r="AA224" s="3">
        <f>Results!$O$13</f>
        <v>2</v>
      </c>
      <c r="AB224" s="11">
        <v>3</v>
      </c>
      <c r="AC224" s="3">
        <f t="shared" ref="AC224:AC227" si="434">AA224*AB224</f>
        <v>6</v>
      </c>
      <c r="AD224" s="3" t="s">
        <v>68</v>
      </c>
      <c r="AE224" s="3">
        <f>Results!$O$18</f>
        <v>11</v>
      </c>
      <c r="AF224" s="11">
        <v>3</v>
      </c>
      <c r="AG224" s="18">
        <f>AE224*AF224</f>
        <v>33</v>
      </c>
      <c r="AI224" s="3" t="s">
        <v>71</v>
      </c>
      <c r="AJ224" s="3">
        <f>Results!$O$3</f>
        <v>3</v>
      </c>
      <c r="AK224" s="11">
        <v>3</v>
      </c>
      <c r="AL224" s="3">
        <f t="shared" ref="AL224:AL227" si="435">AJ224*AK224</f>
        <v>9</v>
      </c>
      <c r="AM224" s="3" t="s">
        <v>76</v>
      </c>
      <c r="AN224" s="3">
        <f>Results!$O$8</f>
        <v>2</v>
      </c>
      <c r="AO224" s="11">
        <v>2</v>
      </c>
      <c r="AP224" s="3">
        <f t="shared" ref="AP224:AP227" si="436">AN224*AO224</f>
        <v>4</v>
      </c>
      <c r="AQ224" s="3" t="s">
        <v>80</v>
      </c>
      <c r="AR224" s="3">
        <f>Results!$O$13</f>
        <v>2</v>
      </c>
      <c r="AS224" s="11">
        <v>3</v>
      </c>
      <c r="AT224" s="3">
        <f t="shared" ref="AT224:AT227" si="437">AR224*AS224</f>
        <v>6</v>
      </c>
      <c r="AU224" s="3" t="s">
        <v>68</v>
      </c>
      <c r="AV224" s="3">
        <f>Results!$O$18</f>
        <v>11</v>
      </c>
      <c r="AW224" s="11">
        <v>2</v>
      </c>
      <c r="AX224" s="18">
        <f>AV224*AW224</f>
        <v>22</v>
      </c>
    </row>
    <row r="225" spans="1:50" ht="13.5" customHeight="1" x14ac:dyDescent="0.2">
      <c r="A225" s="3" t="s">
        <v>123</v>
      </c>
      <c r="B225" s="3">
        <f>Results!$O$4</f>
        <v>-14</v>
      </c>
      <c r="C225" s="11"/>
      <c r="D225" s="3">
        <f t="shared" si="429"/>
        <v>0</v>
      </c>
      <c r="E225" s="3" t="s">
        <v>103</v>
      </c>
      <c r="F225" s="3">
        <f>Results!$O$9</f>
        <v>1</v>
      </c>
      <c r="G225" s="11">
        <v>1</v>
      </c>
      <c r="H225" s="3">
        <f t="shared" si="430"/>
        <v>1</v>
      </c>
      <c r="I225" s="3" t="s">
        <v>77</v>
      </c>
      <c r="J225" s="3">
        <f>Results!$O$14</f>
        <v>4</v>
      </c>
      <c r="K225" s="11">
        <v>2</v>
      </c>
      <c r="L225" s="3">
        <f t="shared" si="431"/>
        <v>8</v>
      </c>
      <c r="M225" s="3" t="s">
        <v>106</v>
      </c>
      <c r="N225" s="3">
        <f>Results!$O$19</f>
        <v>-7</v>
      </c>
      <c r="O225" s="11"/>
      <c r="P225" s="18">
        <f>N225*O225</f>
        <v>0</v>
      </c>
      <c r="R225" s="3" t="s">
        <v>123</v>
      </c>
      <c r="S225" s="3">
        <f>Results!$O$4</f>
        <v>-14</v>
      </c>
      <c r="T225" s="11">
        <v>1</v>
      </c>
      <c r="U225" s="3">
        <f t="shared" si="432"/>
        <v>-14</v>
      </c>
      <c r="V225" s="3" t="s">
        <v>103</v>
      </c>
      <c r="W225" s="3">
        <f>Results!$O$9</f>
        <v>1</v>
      </c>
      <c r="X225" s="11">
        <v>2</v>
      </c>
      <c r="Y225" s="3">
        <f t="shared" si="433"/>
        <v>2</v>
      </c>
      <c r="Z225" s="3" t="s">
        <v>77</v>
      </c>
      <c r="AA225" s="3">
        <f>Results!$O$14</f>
        <v>4</v>
      </c>
      <c r="AB225" s="11">
        <v>2</v>
      </c>
      <c r="AC225" s="3">
        <f t="shared" si="434"/>
        <v>8</v>
      </c>
      <c r="AD225" s="3" t="s">
        <v>106</v>
      </c>
      <c r="AE225" s="3">
        <f>Results!$O$19</f>
        <v>-7</v>
      </c>
      <c r="AF225" s="11"/>
      <c r="AG225" s="18">
        <f>AE225*AF225</f>
        <v>0</v>
      </c>
      <c r="AI225" s="3" t="s">
        <v>123</v>
      </c>
      <c r="AJ225" s="3">
        <f>Results!$O$4</f>
        <v>-14</v>
      </c>
      <c r="AK225" s="11"/>
      <c r="AL225" s="3">
        <f t="shared" si="435"/>
        <v>0</v>
      </c>
      <c r="AM225" s="3" t="s">
        <v>103</v>
      </c>
      <c r="AN225" s="3">
        <f>Results!$O$9</f>
        <v>1</v>
      </c>
      <c r="AO225" s="11">
        <v>1</v>
      </c>
      <c r="AP225" s="3">
        <f t="shared" si="436"/>
        <v>1</v>
      </c>
      <c r="AQ225" s="3" t="s">
        <v>77</v>
      </c>
      <c r="AR225" s="3">
        <f>Results!$O$14</f>
        <v>4</v>
      </c>
      <c r="AS225" s="11">
        <v>2</v>
      </c>
      <c r="AT225" s="3">
        <f t="shared" si="437"/>
        <v>8</v>
      </c>
      <c r="AU225" s="3" t="s">
        <v>106</v>
      </c>
      <c r="AV225" s="3">
        <f>Results!$O$19</f>
        <v>-7</v>
      </c>
      <c r="AW225" s="11">
        <v>1</v>
      </c>
      <c r="AX225" s="18">
        <f>AV225*AW225</f>
        <v>-7</v>
      </c>
    </row>
    <row r="226" spans="1:50" ht="13.5" customHeight="1" x14ac:dyDescent="0.2">
      <c r="A226" s="3" t="s">
        <v>124</v>
      </c>
      <c r="B226" s="3">
        <f>Results!$O$5</f>
        <v>7</v>
      </c>
      <c r="C226" s="11">
        <v>2</v>
      </c>
      <c r="D226" s="3">
        <f t="shared" si="429"/>
        <v>14</v>
      </c>
      <c r="E226" s="3" t="s">
        <v>65</v>
      </c>
      <c r="F226" s="3">
        <f>Results!$O$10</f>
        <v>2</v>
      </c>
      <c r="G226" s="11"/>
      <c r="H226" s="3">
        <f t="shared" si="430"/>
        <v>0</v>
      </c>
      <c r="I226" s="3" t="s">
        <v>104</v>
      </c>
      <c r="J226" s="3">
        <f>Results!$O$15</f>
        <v>-2</v>
      </c>
      <c r="K226" s="11"/>
      <c r="L226" s="3">
        <f t="shared" si="431"/>
        <v>0</v>
      </c>
      <c r="M226" s="3" t="s">
        <v>72</v>
      </c>
      <c r="N226" s="3">
        <f>Results!$O$20</f>
        <v>9</v>
      </c>
      <c r="O226" s="11">
        <v>1</v>
      </c>
      <c r="P226" s="18">
        <f>N226*O226</f>
        <v>9</v>
      </c>
      <c r="R226" s="3" t="s">
        <v>124</v>
      </c>
      <c r="S226" s="3">
        <f>Results!$O$5</f>
        <v>7</v>
      </c>
      <c r="T226" s="11">
        <v>3</v>
      </c>
      <c r="U226" s="3">
        <f t="shared" si="432"/>
        <v>21</v>
      </c>
      <c r="V226" s="3" t="s">
        <v>65</v>
      </c>
      <c r="W226" s="3">
        <f>Results!$O$10</f>
        <v>2</v>
      </c>
      <c r="X226" s="11"/>
      <c r="Y226" s="3">
        <f t="shared" si="433"/>
        <v>0</v>
      </c>
      <c r="Z226" s="3" t="s">
        <v>104</v>
      </c>
      <c r="AA226" s="3">
        <f>Results!$O$15</f>
        <v>-2</v>
      </c>
      <c r="AB226" s="11"/>
      <c r="AC226" s="3">
        <f t="shared" si="434"/>
        <v>0</v>
      </c>
      <c r="AD226" s="3" t="s">
        <v>72</v>
      </c>
      <c r="AE226" s="3">
        <f>Results!$O$20</f>
        <v>9</v>
      </c>
      <c r="AF226" s="11">
        <v>1</v>
      </c>
      <c r="AG226" s="18">
        <f>AE226*AF226</f>
        <v>9</v>
      </c>
      <c r="AI226" s="3" t="s">
        <v>124</v>
      </c>
      <c r="AJ226" s="3">
        <f>Results!$O$5</f>
        <v>7</v>
      </c>
      <c r="AK226" s="11">
        <v>2</v>
      </c>
      <c r="AL226" s="3">
        <f t="shared" si="435"/>
        <v>14</v>
      </c>
      <c r="AM226" s="3" t="s">
        <v>65</v>
      </c>
      <c r="AN226" s="3">
        <f>Results!$O$10</f>
        <v>2</v>
      </c>
      <c r="AO226" s="11"/>
      <c r="AP226" s="3">
        <f t="shared" si="436"/>
        <v>0</v>
      </c>
      <c r="AQ226" s="3" t="s">
        <v>104</v>
      </c>
      <c r="AR226" s="3">
        <f>Results!$O$15</f>
        <v>-2</v>
      </c>
      <c r="AS226" s="11">
        <v>1</v>
      </c>
      <c r="AT226" s="3">
        <f t="shared" si="437"/>
        <v>-2</v>
      </c>
      <c r="AU226" s="3" t="s">
        <v>72</v>
      </c>
      <c r="AV226" s="3">
        <f>Results!$O$20</f>
        <v>9</v>
      </c>
      <c r="AW226" s="11"/>
      <c r="AX226" s="18">
        <f>AV226*AW226</f>
        <v>0</v>
      </c>
    </row>
    <row r="227" spans="1:50" ht="13.5" customHeight="1" x14ac:dyDescent="0.2">
      <c r="A227" s="3" t="s">
        <v>102</v>
      </c>
      <c r="B227" s="3">
        <f>Results!$O$6</f>
        <v>0</v>
      </c>
      <c r="C227" s="11">
        <v>1</v>
      </c>
      <c r="D227" s="3">
        <f t="shared" si="429"/>
        <v>0</v>
      </c>
      <c r="E227" s="3" t="s">
        <v>12</v>
      </c>
      <c r="F227" s="3">
        <f>Results!$O$11</f>
        <v>3</v>
      </c>
      <c r="G227" s="11">
        <v>3</v>
      </c>
      <c r="H227" s="3">
        <f t="shared" si="430"/>
        <v>9</v>
      </c>
      <c r="I227" s="3" t="s">
        <v>105</v>
      </c>
      <c r="J227" s="3">
        <f>Results!$O$16</f>
        <v>4</v>
      </c>
      <c r="K227" s="11">
        <v>1</v>
      </c>
      <c r="L227" s="3">
        <f t="shared" si="431"/>
        <v>4</v>
      </c>
      <c r="M227" s="3" t="s">
        <v>107</v>
      </c>
      <c r="N227" s="3">
        <f>Results!$O$21</f>
        <v>-3</v>
      </c>
      <c r="O227" s="11">
        <v>2</v>
      </c>
      <c r="P227" s="18">
        <f>N227*O227</f>
        <v>-6</v>
      </c>
      <c r="R227" s="3" t="s">
        <v>102</v>
      </c>
      <c r="S227" s="3">
        <f>Results!$O$6</f>
        <v>0</v>
      </c>
      <c r="T227" s="11"/>
      <c r="U227" s="3">
        <f t="shared" si="432"/>
        <v>0</v>
      </c>
      <c r="V227" s="3" t="s">
        <v>12</v>
      </c>
      <c r="W227" s="3">
        <f>Results!$O$11</f>
        <v>3</v>
      </c>
      <c r="X227" s="11">
        <v>3</v>
      </c>
      <c r="Y227" s="3">
        <f t="shared" si="433"/>
        <v>9</v>
      </c>
      <c r="Z227" s="3" t="s">
        <v>105</v>
      </c>
      <c r="AA227" s="3">
        <f>Results!$O$16</f>
        <v>4</v>
      </c>
      <c r="AB227" s="11">
        <v>1</v>
      </c>
      <c r="AC227" s="3">
        <f t="shared" si="434"/>
        <v>4</v>
      </c>
      <c r="AD227" s="3" t="s">
        <v>107</v>
      </c>
      <c r="AE227" s="3">
        <f>Results!$O$21</f>
        <v>-3</v>
      </c>
      <c r="AF227" s="11">
        <v>2</v>
      </c>
      <c r="AG227" s="18">
        <f>AE227*AF227</f>
        <v>-6</v>
      </c>
      <c r="AI227" s="3" t="s">
        <v>102</v>
      </c>
      <c r="AJ227" s="3">
        <f>Results!$O$6</f>
        <v>0</v>
      </c>
      <c r="AK227" s="11">
        <v>1</v>
      </c>
      <c r="AL227" s="3">
        <f t="shared" si="435"/>
        <v>0</v>
      </c>
      <c r="AM227" s="3" t="s">
        <v>12</v>
      </c>
      <c r="AN227" s="3">
        <f>Results!$O$11</f>
        <v>3</v>
      </c>
      <c r="AO227" s="11">
        <v>3</v>
      </c>
      <c r="AP227" s="3">
        <f t="shared" si="436"/>
        <v>9</v>
      </c>
      <c r="AQ227" s="3" t="s">
        <v>105</v>
      </c>
      <c r="AR227" s="3">
        <f>Results!$O$16</f>
        <v>4</v>
      </c>
      <c r="AS227" s="11"/>
      <c r="AT227" s="3">
        <f t="shared" si="437"/>
        <v>0</v>
      </c>
      <c r="AU227" s="3" t="s">
        <v>107</v>
      </c>
      <c r="AV227" s="3">
        <f>Results!$O$21</f>
        <v>-3</v>
      </c>
      <c r="AW227" s="11">
        <v>3</v>
      </c>
      <c r="AX227" s="18">
        <f>AV227*AW227</f>
        <v>-9</v>
      </c>
    </row>
    <row r="228" spans="1:50" ht="13.5" customHeight="1" x14ac:dyDescent="0.2">
      <c r="A228" s="14" t="s">
        <v>14</v>
      </c>
      <c r="B228" s="15" t="s">
        <v>51</v>
      </c>
      <c r="C228" s="16" t="s">
        <v>21</v>
      </c>
      <c r="D228" s="15" t="s">
        <v>49</v>
      </c>
      <c r="E228" s="15" t="s">
        <v>15</v>
      </c>
      <c r="F228" s="15" t="s">
        <v>51</v>
      </c>
      <c r="G228" s="16" t="s">
        <v>21</v>
      </c>
      <c r="H228" s="15" t="s">
        <v>49</v>
      </c>
      <c r="I228" s="15" t="s">
        <v>78</v>
      </c>
      <c r="J228" s="15" t="s">
        <v>51</v>
      </c>
      <c r="K228" s="16" t="s">
        <v>21</v>
      </c>
      <c r="L228" s="15" t="s">
        <v>49</v>
      </c>
      <c r="M228" s="15" t="s">
        <v>79</v>
      </c>
      <c r="N228" s="15" t="s">
        <v>51</v>
      </c>
      <c r="O228" s="16" t="s">
        <v>21</v>
      </c>
      <c r="P228" s="15" t="s">
        <v>49</v>
      </c>
      <c r="R228" s="14" t="s">
        <v>14</v>
      </c>
      <c r="S228" s="15" t="s">
        <v>51</v>
      </c>
      <c r="T228" s="16" t="s">
        <v>21</v>
      </c>
      <c r="U228" s="15" t="s">
        <v>49</v>
      </c>
      <c r="V228" s="15" t="s">
        <v>15</v>
      </c>
      <c r="W228" s="15" t="s">
        <v>51</v>
      </c>
      <c r="X228" s="16" t="s">
        <v>21</v>
      </c>
      <c r="Y228" s="15" t="s">
        <v>49</v>
      </c>
      <c r="Z228" s="15" t="s">
        <v>78</v>
      </c>
      <c r="AA228" s="15" t="s">
        <v>51</v>
      </c>
      <c r="AB228" s="16" t="s">
        <v>21</v>
      </c>
      <c r="AC228" s="15" t="s">
        <v>49</v>
      </c>
      <c r="AD228" s="15" t="s">
        <v>79</v>
      </c>
      <c r="AE228" s="15" t="s">
        <v>51</v>
      </c>
      <c r="AF228" s="16" t="s">
        <v>21</v>
      </c>
      <c r="AG228" s="15" t="s">
        <v>49</v>
      </c>
      <c r="AI228" s="14" t="s">
        <v>14</v>
      </c>
      <c r="AJ228" s="15" t="s">
        <v>51</v>
      </c>
      <c r="AK228" s="16" t="s">
        <v>21</v>
      </c>
      <c r="AL228" s="15" t="s">
        <v>49</v>
      </c>
      <c r="AM228" s="15" t="s">
        <v>15</v>
      </c>
      <c r="AN228" s="15" t="s">
        <v>51</v>
      </c>
      <c r="AO228" s="16" t="s">
        <v>21</v>
      </c>
      <c r="AP228" s="15" t="s">
        <v>49</v>
      </c>
      <c r="AQ228" s="15" t="s">
        <v>78</v>
      </c>
      <c r="AR228" s="15" t="s">
        <v>51</v>
      </c>
      <c r="AS228" s="16" t="s">
        <v>21</v>
      </c>
      <c r="AT228" s="15" t="s">
        <v>49</v>
      </c>
      <c r="AU228" s="15" t="s">
        <v>79</v>
      </c>
      <c r="AV228" s="15" t="s">
        <v>51</v>
      </c>
      <c r="AW228" s="16" t="s">
        <v>21</v>
      </c>
      <c r="AX228" s="15" t="s">
        <v>49</v>
      </c>
    </row>
    <row r="229" spans="1:50" ht="13.5" customHeight="1" x14ac:dyDescent="0.2">
      <c r="A229" s="3" t="s">
        <v>11</v>
      </c>
      <c r="B229" s="3">
        <f>Results!$O$23</f>
        <v>18</v>
      </c>
      <c r="C229" s="11">
        <v>3</v>
      </c>
      <c r="D229" s="3">
        <f t="shared" ref="D229:D232" si="438">B229*C229</f>
        <v>54</v>
      </c>
      <c r="E229" s="3" t="s">
        <v>57</v>
      </c>
      <c r="F229" s="3">
        <f>Results!$O$28</f>
        <v>2</v>
      </c>
      <c r="G229" s="11">
        <v>3</v>
      </c>
      <c r="H229" s="3">
        <f t="shared" ref="H229:H232" si="439">F229*G229</f>
        <v>6</v>
      </c>
      <c r="I229" s="3" t="s">
        <v>18</v>
      </c>
      <c r="J229" s="3">
        <f>Results!$O$33</f>
        <v>2</v>
      </c>
      <c r="K229" s="11">
        <v>3</v>
      </c>
      <c r="L229" s="3">
        <f t="shared" ref="L229:L232" si="440">J229*K229</f>
        <v>6</v>
      </c>
      <c r="M229" s="3" t="s">
        <v>17</v>
      </c>
      <c r="N229" s="3">
        <f>Results!$O$38</f>
        <v>2</v>
      </c>
      <c r="O229" s="11">
        <v>5</v>
      </c>
      <c r="P229" s="3">
        <f t="shared" ref="P229:P232" si="441">N229*O229</f>
        <v>10</v>
      </c>
      <c r="R229" s="3" t="s">
        <v>11</v>
      </c>
      <c r="S229" s="3">
        <f>Results!$O$23</f>
        <v>18</v>
      </c>
      <c r="T229" s="11">
        <v>2</v>
      </c>
      <c r="U229" s="3">
        <f t="shared" ref="U229:U232" si="442">S229*T229</f>
        <v>36</v>
      </c>
      <c r="V229" s="3" t="s">
        <v>57</v>
      </c>
      <c r="W229" s="3">
        <f>Results!$O$28</f>
        <v>2</v>
      </c>
      <c r="X229" s="11">
        <v>2</v>
      </c>
      <c r="Y229" s="3">
        <f t="shared" ref="Y229:Y232" si="443">W229*X229</f>
        <v>4</v>
      </c>
      <c r="Z229" s="3" t="s">
        <v>18</v>
      </c>
      <c r="AA229" s="3">
        <f>Results!$O$33</f>
        <v>2</v>
      </c>
      <c r="AB229" s="11">
        <v>3</v>
      </c>
      <c r="AC229" s="3">
        <f t="shared" ref="AC229:AC232" si="444">AA229*AB229</f>
        <v>6</v>
      </c>
      <c r="AD229" s="3" t="s">
        <v>17</v>
      </c>
      <c r="AE229" s="3">
        <f>Results!$O$38</f>
        <v>2</v>
      </c>
      <c r="AF229" s="11">
        <v>5</v>
      </c>
      <c r="AG229" s="3">
        <f t="shared" ref="AG229:AG232" si="445">AE229*AF229</f>
        <v>10</v>
      </c>
      <c r="AI229" s="3" t="s">
        <v>11</v>
      </c>
      <c r="AJ229" s="3">
        <f>Results!$O$23</f>
        <v>18</v>
      </c>
      <c r="AK229" s="11">
        <v>3</v>
      </c>
      <c r="AL229" s="3">
        <f t="shared" ref="AL229:AL232" si="446">AJ229*AK229</f>
        <v>54</v>
      </c>
      <c r="AM229" s="3" t="s">
        <v>57</v>
      </c>
      <c r="AN229" s="3">
        <f>Results!$O$28</f>
        <v>2</v>
      </c>
      <c r="AO229" s="11">
        <v>3</v>
      </c>
      <c r="AP229" s="3">
        <f t="shared" ref="AP229:AP232" si="447">AN229*AO229</f>
        <v>6</v>
      </c>
      <c r="AQ229" s="3" t="s">
        <v>18</v>
      </c>
      <c r="AR229" s="3">
        <f>Results!$O$33</f>
        <v>2</v>
      </c>
      <c r="AS229" s="11">
        <v>3</v>
      </c>
      <c r="AT229" s="3">
        <f t="shared" ref="AT229:AT232" si="448">AR229*AS229</f>
        <v>6</v>
      </c>
      <c r="AU229" s="3" t="s">
        <v>17</v>
      </c>
      <c r="AV229" s="3">
        <f>Results!$O$38</f>
        <v>2</v>
      </c>
      <c r="AW229" s="11">
        <v>3</v>
      </c>
      <c r="AX229" s="3">
        <f t="shared" ref="AX229:AX232" si="449">AV229*AW229</f>
        <v>6</v>
      </c>
    </row>
    <row r="230" spans="1:50" ht="13.5" customHeight="1" x14ac:dyDescent="0.2">
      <c r="A230" s="3" t="s">
        <v>108</v>
      </c>
      <c r="B230" s="3">
        <f>Results!$O$24</f>
        <v>-5</v>
      </c>
      <c r="C230" s="11"/>
      <c r="D230" s="3">
        <f t="shared" si="438"/>
        <v>0</v>
      </c>
      <c r="E230" s="3" t="s">
        <v>75</v>
      </c>
      <c r="F230" s="3">
        <f>Results!$O$29</f>
        <v>5</v>
      </c>
      <c r="G230" s="11">
        <v>2</v>
      </c>
      <c r="H230" s="3">
        <f t="shared" si="439"/>
        <v>10</v>
      </c>
      <c r="I230" s="3" t="s">
        <v>111</v>
      </c>
      <c r="J230" s="3">
        <f>Results!$O$34</f>
        <v>2</v>
      </c>
      <c r="K230" s="11">
        <v>1</v>
      </c>
      <c r="L230" s="3">
        <f t="shared" si="440"/>
        <v>2</v>
      </c>
      <c r="M230" s="3" t="s">
        <v>113</v>
      </c>
      <c r="N230" s="3">
        <f>Results!$O$39</f>
        <v>2</v>
      </c>
      <c r="O230" s="11">
        <v>1</v>
      </c>
      <c r="P230" s="3">
        <f t="shared" si="441"/>
        <v>2</v>
      </c>
      <c r="R230" s="3" t="s">
        <v>108</v>
      </c>
      <c r="S230" s="3">
        <f>Results!$O$24</f>
        <v>-5</v>
      </c>
      <c r="T230" s="11"/>
      <c r="U230" s="3">
        <f t="shared" si="442"/>
        <v>0</v>
      </c>
      <c r="V230" s="3" t="s">
        <v>75</v>
      </c>
      <c r="W230" s="3">
        <f>Results!$O$29</f>
        <v>5</v>
      </c>
      <c r="X230" s="11">
        <v>3</v>
      </c>
      <c r="Y230" s="3">
        <f t="shared" si="443"/>
        <v>15</v>
      </c>
      <c r="Z230" s="3" t="s">
        <v>111</v>
      </c>
      <c r="AA230" s="3">
        <f>Results!$O$34</f>
        <v>2</v>
      </c>
      <c r="AB230" s="11">
        <v>2</v>
      </c>
      <c r="AC230" s="3">
        <f t="shared" si="444"/>
        <v>4</v>
      </c>
      <c r="AD230" s="3" t="s">
        <v>113</v>
      </c>
      <c r="AE230" s="3">
        <f>Results!$O$39</f>
        <v>2</v>
      </c>
      <c r="AF230" s="11">
        <v>1</v>
      </c>
      <c r="AG230" s="3">
        <f t="shared" si="445"/>
        <v>2</v>
      </c>
      <c r="AI230" s="3" t="s">
        <v>108</v>
      </c>
      <c r="AJ230" s="3">
        <f>Results!$O$24</f>
        <v>-5</v>
      </c>
      <c r="AK230" s="11"/>
      <c r="AL230" s="3">
        <f t="shared" si="446"/>
        <v>0</v>
      </c>
      <c r="AM230" s="3" t="s">
        <v>75</v>
      </c>
      <c r="AN230" s="3">
        <f>Results!$O$29</f>
        <v>5</v>
      </c>
      <c r="AO230" s="11">
        <v>2</v>
      </c>
      <c r="AP230" s="3">
        <f t="shared" si="447"/>
        <v>10</v>
      </c>
      <c r="AQ230" s="3" t="s">
        <v>111</v>
      </c>
      <c r="AR230" s="3">
        <f>Results!$O$34</f>
        <v>2</v>
      </c>
      <c r="AS230" s="11">
        <v>2</v>
      </c>
      <c r="AT230" s="3">
        <f t="shared" si="448"/>
        <v>4</v>
      </c>
      <c r="AU230" s="3" t="s">
        <v>113</v>
      </c>
      <c r="AV230" s="3">
        <f>Results!$O$39</f>
        <v>2</v>
      </c>
      <c r="AW230" s="11"/>
      <c r="AX230" s="3">
        <f t="shared" si="449"/>
        <v>0</v>
      </c>
    </row>
    <row r="231" spans="1:50" ht="13.5" customHeight="1" x14ac:dyDescent="0.2">
      <c r="A231" s="3" t="s">
        <v>109</v>
      </c>
      <c r="B231" s="3">
        <f>Results!$O$25</f>
        <v>4</v>
      </c>
      <c r="C231" s="11">
        <v>1</v>
      </c>
      <c r="D231" s="3">
        <f t="shared" si="438"/>
        <v>4</v>
      </c>
      <c r="E231" s="3" t="s">
        <v>110</v>
      </c>
      <c r="F231" s="3">
        <f>Results!$O$30</f>
        <v>14</v>
      </c>
      <c r="G231" s="11">
        <v>1</v>
      </c>
      <c r="H231" s="3">
        <f t="shared" si="439"/>
        <v>14</v>
      </c>
      <c r="I231" s="3" t="s">
        <v>67</v>
      </c>
      <c r="J231" s="3">
        <f>Results!$O$35</f>
        <v>4</v>
      </c>
      <c r="K231" s="11">
        <v>2</v>
      </c>
      <c r="L231" s="3">
        <f t="shared" si="440"/>
        <v>8</v>
      </c>
      <c r="M231" s="3" t="s">
        <v>70</v>
      </c>
      <c r="N231" s="3">
        <f>Results!$O$40</f>
        <v>3</v>
      </c>
      <c r="O231" s="11">
        <v>2</v>
      </c>
      <c r="P231" s="3">
        <f t="shared" si="441"/>
        <v>6</v>
      </c>
      <c r="R231" s="3" t="s">
        <v>109</v>
      </c>
      <c r="S231" s="3">
        <f>Results!$O$25</f>
        <v>4</v>
      </c>
      <c r="T231" s="11">
        <v>3</v>
      </c>
      <c r="U231" s="3">
        <f t="shared" si="442"/>
        <v>12</v>
      </c>
      <c r="V231" s="3" t="s">
        <v>110</v>
      </c>
      <c r="W231" s="3">
        <f>Results!$O$30</f>
        <v>14</v>
      </c>
      <c r="X231" s="11">
        <v>1</v>
      </c>
      <c r="Y231" s="3">
        <f t="shared" si="443"/>
        <v>14</v>
      </c>
      <c r="Z231" s="3" t="s">
        <v>67</v>
      </c>
      <c r="AA231" s="3">
        <f>Results!$O$35</f>
        <v>4</v>
      </c>
      <c r="AB231" s="11"/>
      <c r="AC231" s="3">
        <f t="shared" si="444"/>
        <v>0</v>
      </c>
      <c r="AD231" s="3" t="s">
        <v>70</v>
      </c>
      <c r="AE231" s="3">
        <f>Results!$O$40</f>
        <v>3</v>
      </c>
      <c r="AF231" s="11">
        <v>2</v>
      </c>
      <c r="AG231" s="3">
        <f t="shared" si="445"/>
        <v>6</v>
      </c>
      <c r="AI231" s="3" t="s">
        <v>109</v>
      </c>
      <c r="AJ231" s="3">
        <f>Results!$O$25</f>
        <v>4</v>
      </c>
      <c r="AK231" s="11">
        <v>2</v>
      </c>
      <c r="AL231" s="3">
        <f t="shared" si="446"/>
        <v>8</v>
      </c>
      <c r="AM231" s="3" t="s">
        <v>110</v>
      </c>
      <c r="AN231" s="3">
        <f>Results!$O$30</f>
        <v>14</v>
      </c>
      <c r="AO231" s="11"/>
      <c r="AP231" s="3">
        <f t="shared" si="447"/>
        <v>0</v>
      </c>
      <c r="AQ231" s="3" t="s">
        <v>67</v>
      </c>
      <c r="AR231" s="3">
        <f>Results!$O$35</f>
        <v>4</v>
      </c>
      <c r="AS231" s="11">
        <v>1</v>
      </c>
      <c r="AT231" s="3">
        <f t="shared" si="448"/>
        <v>4</v>
      </c>
      <c r="AU231" s="3" t="s">
        <v>70</v>
      </c>
      <c r="AV231" s="3">
        <f>Results!$O$40</f>
        <v>3</v>
      </c>
      <c r="AW231" s="11">
        <v>1</v>
      </c>
      <c r="AX231" s="3">
        <f t="shared" si="449"/>
        <v>3</v>
      </c>
    </row>
    <row r="232" spans="1:50" ht="13.5" customHeight="1" x14ac:dyDescent="0.2">
      <c r="A232" s="24" t="s">
        <v>91</v>
      </c>
      <c r="B232" s="24">
        <f>Results!$O$26</f>
        <v>-2</v>
      </c>
      <c r="C232" s="25">
        <v>2</v>
      </c>
      <c r="D232" s="24">
        <f t="shared" si="438"/>
        <v>-4</v>
      </c>
      <c r="E232" s="24" t="s">
        <v>73</v>
      </c>
      <c r="F232" s="24">
        <f>Results!$O$31</f>
        <v>-4</v>
      </c>
      <c r="G232" s="25"/>
      <c r="H232" s="24">
        <f t="shared" si="439"/>
        <v>0</v>
      </c>
      <c r="I232" s="24" t="s">
        <v>112</v>
      </c>
      <c r="J232" s="24">
        <f>Results!$O$36</f>
        <v>5</v>
      </c>
      <c r="K232" s="25"/>
      <c r="L232" s="24">
        <f t="shared" si="440"/>
        <v>0</v>
      </c>
      <c r="M232" s="24" t="s">
        <v>84</v>
      </c>
      <c r="N232" s="24">
        <f>Results!$O$41</f>
        <v>4</v>
      </c>
      <c r="O232" s="25">
        <v>3</v>
      </c>
      <c r="P232" s="24">
        <f t="shared" si="441"/>
        <v>12</v>
      </c>
      <c r="R232" s="24" t="s">
        <v>91</v>
      </c>
      <c r="S232" s="24">
        <f>Results!$O$26</f>
        <v>-2</v>
      </c>
      <c r="T232" s="25">
        <v>1</v>
      </c>
      <c r="U232" s="24">
        <f t="shared" si="442"/>
        <v>-2</v>
      </c>
      <c r="V232" s="24" t="s">
        <v>73</v>
      </c>
      <c r="W232" s="24">
        <f>Results!$O$31</f>
        <v>-4</v>
      </c>
      <c r="X232" s="25"/>
      <c r="Y232" s="24">
        <f t="shared" si="443"/>
        <v>0</v>
      </c>
      <c r="Z232" s="24" t="s">
        <v>112</v>
      </c>
      <c r="AA232" s="24">
        <f>Results!$O$36</f>
        <v>5</v>
      </c>
      <c r="AB232" s="25">
        <v>1</v>
      </c>
      <c r="AC232" s="24">
        <f t="shared" si="444"/>
        <v>5</v>
      </c>
      <c r="AD232" s="24" t="s">
        <v>84</v>
      </c>
      <c r="AE232" s="24">
        <f>Results!$O$41</f>
        <v>4</v>
      </c>
      <c r="AF232" s="25">
        <v>3</v>
      </c>
      <c r="AG232" s="24">
        <f t="shared" si="445"/>
        <v>12</v>
      </c>
      <c r="AI232" s="24" t="s">
        <v>91</v>
      </c>
      <c r="AJ232" s="24">
        <f>Results!$O$26</f>
        <v>-2</v>
      </c>
      <c r="AK232" s="25">
        <v>1</v>
      </c>
      <c r="AL232" s="24">
        <f t="shared" si="446"/>
        <v>-2</v>
      </c>
      <c r="AM232" s="24" t="s">
        <v>73</v>
      </c>
      <c r="AN232" s="24">
        <f>Results!$O$31</f>
        <v>-4</v>
      </c>
      <c r="AO232" s="25">
        <v>1</v>
      </c>
      <c r="AP232" s="24">
        <f t="shared" si="447"/>
        <v>-4</v>
      </c>
      <c r="AQ232" s="24" t="s">
        <v>112</v>
      </c>
      <c r="AR232" s="24">
        <f>Results!$O$36</f>
        <v>5</v>
      </c>
      <c r="AS232" s="25"/>
      <c r="AT232" s="24">
        <f t="shared" si="448"/>
        <v>0</v>
      </c>
      <c r="AU232" s="24" t="s">
        <v>84</v>
      </c>
      <c r="AV232" s="24">
        <f>Results!$O$41</f>
        <v>4</v>
      </c>
      <c r="AW232" s="25">
        <v>2</v>
      </c>
      <c r="AX232" s="24">
        <f t="shared" si="449"/>
        <v>8</v>
      </c>
    </row>
    <row r="233" spans="1:50" ht="13.5" customHeight="1" x14ac:dyDescent="0.2">
      <c r="A233" s="14" t="s">
        <v>97</v>
      </c>
      <c r="B233" s="15" t="s">
        <v>51</v>
      </c>
      <c r="C233" s="16" t="s">
        <v>21</v>
      </c>
      <c r="D233" s="15" t="s">
        <v>49</v>
      </c>
      <c r="E233" s="15" t="s">
        <v>98</v>
      </c>
      <c r="F233" s="15" t="s">
        <v>51</v>
      </c>
      <c r="G233" s="16" t="s">
        <v>21</v>
      </c>
      <c r="H233" s="15" t="s">
        <v>49</v>
      </c>
      <c r="I233" s="15" t="s">
        <v>99</v>
      </c>
      <c r="J233" s="15" t="s">
        <v>51</v>
      </c>
      <c r="K233" s="16" t="s">
        <v>21</v>
      </c>
      <c r="L233" s="15" t="s">
        <v>49</v>
      </c>
      <c r="M233" s="15" t="s">
        <v>100</v>
      </c>
      <c r="N233" s="15" t="s">
        <v>51</v>
      </c>
      <c r="O233" s="16" t="s">
        <v>21</v>
      </c>
      <c r="P233" s="15" t="s">
        <v>49</v>
      </c>
      <c r="R233" s="14" t="s">
        <v>97</v>
      </c>
      <c r="S233" s="15" t="s">
        <v>51</v>
      </c>
      <c r="T233" s="16" t="s">
        <v>21</v>
      </c>
      <c r="U233" s="15" t="s">
        <v>49</v>
      </c>
      <c r="V233" s="15" t="s">
        <v>98</v>
      </c>
      <c r="W233" s="15" t="s">
        <v>51</v>
      </c>
      <c r="X233" s="16" t="s">
        <v>21</v>
      </c>
      <c r="Y233" s="15" t="s">
        <v>49</v>
      </c>
      <c r="Z233" s="15" t="s">
        <v>99</v>
      </c>
      <c r="AA233" s="15" t="s">
        <v>51</v>
      </c>
      <c r="AB233" s="16" t="s">
        <v>21</v>
      </c>
      <c r="AC233" s="15" t="s">
        <v>49</v>
      </c>
      <c r="AD233" s="15" t="s">
        <v>100</v>
      </c>
      <c r="AE233" s="15" t="s">
        <v>51</v>
      </c>
      <c r="AF233" s="16" t="s">
        <v>21</v>
      </c>
      <c r="AG233" s="15" t="s">
        <v>49</v>
      </c>
      <c r="AI233" s="14" t="s">
        <v>97</v>
      </c>
      <c r="AJ233" s="15" t="s">
        <v>51</v>
      </c>
      <c r="AK233" s="16" t="s">
        <v>21</v>
      </c>
      <c r="AL233" s="15" t="s">
        <v>49</v>
      </c>
      <c r="AM233" s="15" t="s">
        <v>98</v>
      </c>
      <c r="AN233" s="15" t="s">
        <v>51</v>
      </c>
      <c r="AO233" s="16" t="s">
        <v>21</v>
      </c>
      <c r="AP233" s="15" t="s">
        <v>49</v>
      </c>
      <c r="AQ233" s="15" t="s">
        <v>99</v>
      </c>
      <c r="AR233" s="15" t="s">
        <v>51</v>
      </c>
      <c r="AS233" s="16" t="s">
        <v>21</v>
      </c>
      <c r="AT233" s="15" t="s">
        <v>49</v>
      </c>
      <c r="AU233" s="15" t="s">
        <v>100</v>
      </c>
      <c r="AV233" s="15" t="s">
        <v>51</v>
      </c>
      <c r="AW233" s="16" t="s">
        <v>21</v>
      </c>
      <c r="AX233" s="15" t="s">
        <v>49</v>
      </c>
    </row>
    <row r="234" spans="1:50" ht="13.5" customHeight="1" x14ac:dyDescent="0.2">
      <c r="A234" s="3" t="s">
        <v>8</v>
      </c>
      <c r="B234" s="3">
        <f>Results!$O$43</f>
        <v>10</v>
      </c>
      <c r="C234" s="11">
        <v>3</v>
      </c>
      <c r="D234" s="3">
        <f t="shared" ref="D234:D237" si="450">B234*C234</f>
        <v>30</v>
      </c>
      <c r="E234" s="3" t="s">
        <v>69</v>
      </c>
      <c r="F234" s="3">
        <f>Results!$O$48</f>
        <v>11</v>
      </c>
      <c r="G234" s="11">
        <v>3</v>
      </c>
      <c r="H234" s="3">
        <f t="shared" ref="H234:H237" si="451">F234*G234</f>
        <v>33</v>
      </c>
      <c r="I234" s="3" t="s">
        <v>19</v>
      </c>
      <c r="J234" s="3">
        <f>Results!$O$53</f>
        <v>1</v>
      </c>
      <c r="K234" s="11">
        <v>2</v>
      </c>
      <c r="L234" s="3">
        <f t="shared" ref="L234:L237" si="452">J234*K234</f>
        <v>2</v>
      </c>
      <c r="M234" s="3" t="s">
        <v>10</v>
      </c>
      <c r="N234" s="3">
        <f>Results!$O$58</f>
        <v>11</v>
      </c>
      <c r="O234" s="11">
        <v>3</v>
      </c>
      <c r="P234" s="3">
        <f t="shared" ref="P234:P237" si="453">N234*O234</f>
        <v>33</v>
      </c>
      <c r="R234" s="3" t="s">
        <v>8</v>
      </c>
      <c r="S234" s="3">
        <f>Results!$O$43</f>
        <v>10</v>
      </c>
      <c r="T234" s="11">
        <v>3</v>
      </c>
      <c r="U234" s="3">
        <f t="shared" ref="U234:U237" si="454">S234*T234</f>
        <v>30</v>
      </c>
      <c r="V234" s="3" t="s">
        <v>69</v>
      </c>
      <c r="W234" s="3">
        <f>Results!$O$48</f>
        <v>11</v>
      </c>
      <c r="X234" s="11">
        <v>3</v>
      </c>
      <c r="Y234" s="3">
        <f t="shared" ref="Y234:Y237" si="455">W234*X234</f>
        <v>33</v>
      </c>
      <c r="Z234" s="3" t="s">
        <v>19</v>
      </c>
      <c r="AA234" s="3">
        <f>Results!$O$53</f>
        <v>1</v>
      </c>
      <c r="AB234" s="11">
        <v>2</v>
      </c>
      <c r="AC234" s="3">
        <f t="shared" ref="AC234:AC237" si="456">AA234*AB234</f>
        <v>2</v>
      </c>
      <c r="AD234" s="3" t="s">
        <v>10</v>
      </c>
      <c r="AE234" s="3">
        <f>Results!$O$58</f>
        <v>11</v>
      </c>
      <c r="AF234" s="11">
        <v>2</v>
      </c>
      <c r="AG234" s="3">
        <f t="shared" ref="AG234:AG237" si="457">AE234*AF234</f>
        <v>22</v>
      </c>
      <c r="AI234" s="3" t="s">
        <v>8</v>
      </c>
      <c r="AJ234" s="3">
        <f>Results!$O$43</f>
        <v>10</v>
      </c>
      <c r="AK234" s="11">
        <v>5</v>
      </c>
      <c r="AL234" s="3">
        <f t="shared" ref="AL234:AL237" si="458">AJ234*AK234</f>
        <v>50</v>
      </c>
      <c r="AM234" s="3" t="s">
        <v>69</v>
      </c>
      <c r="AN234" s="3">
        <f>Results!$O$48</f>
        <v>11</v>
      </c>
      <c r="AO234" s="11">
        <v>3</v>
      </c>
      <c r="AP234" s="3">
        <f t="shared" ref="AP234:AP237" si="459">AN234*AO234</f>
        <v>33</v>
      </c>
      <c r="AQ234" s="3" t="s">
        <v>19</v>
      </c>
      <c r="AR234" s="3">
        <f>Results!$O$53</f>
        <v>1</v>
      </c>
      <c r="AS234" s="11">
        <v>3</v>
      </c>
      <c r="AT234" s="3">
        <f t="shared" ref="AT234:AT237" si="460">AR234*AS234</f>
        <v>3</v>
      </c>
      <c r="AU234" s="3" t="s">
        <v>10</v>
      </c>
      <c r="AV234" s="3">
        <f>Results!$O$58</f>
        <v>11</v>
      </c>
      <c r="AW234" s="11">
        <v>3</v>
      </c>
      <c r="AX234" s="3">
        <f t="shared" ref="AX234:AX237" si="461">AV234*AW234</f>
        <v>33</v>
      </c>
    </row>
    <row r="235" spans="1:50" ht="13.5" customHeight="1" x14ac:dyDescent="0.2">
      <c r="A235" s="3" t="s">
        <v>66</v>
      </c>
      <c r="B235" s="3">
        <f>Results!$O$44</f>
        <v>-1</v>
      </c>
      <c r="C235" s="11">
        <v>1</v>
      </c>
      <c r="D235" s="3">
        <f t="shared" si="450"/>
        <v>-1</v>
      </c>
      <c r="E235" s="3" t="s">
        <v>116</v>
      </c>
      <c r="F235" s="3">
        <f>Results!$O$49</f>
        <v>-3</v>
      </c>
      <c r="G235" s="11">
        <v>1</v>
      </c>
      <c r="H235" s="3">
        <f t="shared" si="451"/>
        <v>-3</v>
      </c>
      <c r="I235" s="3" t="s">
        <v>119</v>
      </c>
      <c r="J235" s="3">
        <f>Results!$O$54</f>
        <v>3</v>
      </c>
      <c r="K235" s="11"/>
      <c r="L235" s="3">
        <f t="shared" si="452"/>
        <v>0</v>
      </c>
      <c r="M235" s="3" t="s">
        <v>16</v>
      </c>
      <c r="N235" s="3">
        <f>Results!$O$59</f>
        <v>0</v>
      </c>
      <c r="O235" s="11">
        <v>2</v>
      </c>
      <c r="P235" s="3">
        <f t="shared" si="453"/>
        <v>0</v>
      </c>
      <c r="R235" s="3" t="s">
        <v>66</v>
      </c>
      <c r="S235" s="3">
        <f>Results!$O$44</f>
        <v>-1</v>
      </c>
      <c r="T235" s="11">
        <v>2</v>
      </c>
      <c r="U235" s="3">
        <f t="shared" si="454"/>
        <v>-2</v>
      </c>
      <c r="V235" s="3" t="s">
        <v>116</v>
      </c>
      <c r="W235" s="3">
        <f>Results!$O$49</f>
        <v>-3</v>
      </c>
      <c r="X235" s="11">
        <v>1</v>
      </c>
      <c r="Y235" s="3">
        <f t="shared" si="455"/>
        <v>-3</v>
      </c>
      <c r="Z235" s="3" t="s">
        <v>119</v>
      </c>
      <c r="AA235" s="3">
        <f>Results!$O$54</f>
        <v>3</v>
      </c>
      <c r="AB235" s="11"/>
      <c r="AC235" s="3">
        <f t="shared" si="456"/>
        <v>0</v>
      </c>
      <c r="AD235" s="3" t="s">
        <v>16</v>
      </c>
      <c r="AE235" s="3">
        <f>Results!$O$59</f>
        <v>0</v>
      </c>
      <c r="AF235" s="11">
        <v>3</v>
      </c>
      <c r="AG235" s="3">
        <f t="shared" si="457"/>
        <v>0</v>
      </c>
      <c r="AI235" s="3" t="s">
        <v>66</v>
      </c>
      <c r="AJ235" s="3">
        <f>Results!$O$44</f>
        <v>-1</v>
      </c>
      <c r="AK235" s="11">
        <v>2</v>
      </c>
      <c r="AL235" s="3">
        <f t="shared" si="458"/>
        <v>-2</v>
      </c>
      <c r="AM235" s="3" t="s">
        <v>116</v>
      </c>
      <c r="AN235" s="3">
        <f>Results!$O$49</f>
        <v>-3</v>
      </c>
      <c r="AO235" s="11">
        <v>1</v>
      </c>
      <c r="AP235" s="3">
        <f t="shared" si="459"/>
        <v>-3</v>
      </c>
      <c r="AQ235" s="3" t="s">
        <v>119</v>
      </c>
      <c r="AR235" s="3">
        <f>Results!$O$54</f>
        <v>3</v>
      </c>
      <c r="AS235" s="11">
        <v>1</v>
      </c>
      <c r="AT235" s="3">
        <f t="shared" si="460"/>
        <v>3</v>
      </c>
      <c r="AU235" s="3" t="s">
        <v>16</v>
      </c>
      <c r="AV235" s="3">
        <f>Results!$O$59</f>
        <v>0</v>
      </c>
      <c r="AW235" s="11">
        <v>2</v>
      </c>
      <c r="AX235" s="3">
        <f t="shared" si="461"/>
        <v>0</v>
      </c>
    </row>
    <row r="236" spans="1:50" ht="13.5" customHeight="1" x14ac:dyDescent="0.2">
      <c r="A236" s="3" t="s">
        <v>114</v>
      </c>
      <c r="B236" s="3">
        <f>Results!$O$45</f>
        <v>-3</v>
      </c>
      <c r="C236" s="11"/>
      <c r="D236" s="3">
        <f t="shared" si="450"/>
        <v>0</v>
      </c>
      <c r="E236" s="3" t="s">
        <v>117</v>
      </c>
      <c r="F236" s="3">
        <f>Results!$O$50</f>
        <v>9</v>
      </c>
      <c r="G236" s="11">
        <v>2</v>
      </c>
      <c r="H236" s="3">
        <f t="shared" si="451"/>
        <v>18</v>
      </c>
      <c r="I236" s="3" t="s">
        <v>120</v>
      </c>
      <c r="J236" s="3">
        <f>Results!$O$55</f>
        <v>-2</v>
      </c>
      <c r="K236" s="11">
        <v>1</v>
      </c>
      <c r="L236" s="3">
        <f t="shared" si="452"/>
        <v>-2</v>
      </c>
      <c r="M236" s="3" t="s">
        <v>83</v>
      </c>
      <c r="N236" s="3">
        <f>Results!$O$60</f>
        <v>6</v>
      </c>
      <c r="O236" s="11">
        <v>1</v>
      </c>
      <c r="P236" s="3">
        <f t="shared" si="453"/>
        <v>6</v>
      </c>
      <c r="R236" s="3" t="s">
        <v>114</v>
      </c>
      <c r="S236" s="3">
        <f>Results!$O$45</f>
        <v>-3</v>
      </c>
      <c r="T236" s="11"/>
      <c r="U236" s="3">
        <f t="shared" si="454"/>
        <v>0</v>
      </c>
      <c r="V236" s="3" t="s">
        <v>117</v>
      </c>
      <c r="W236" s="3">
        <f>Results!$O$50</f>
        <v>9</v>
      </c>
      <c r="X236" s="11">
        <v>2</v>
      </c>
      <c r="Y236" s="3">
        <f t="shared" si="455"/>
        <v>18</v>
      </c>
      <c r="Z236" s="3" t="s">
        <v>120</v>
      </c>
      <c r="AA236" s="3">
        <f>Results!$O$55</f>
        <v>-2</v>
      </c>
      <c r="AB236" s="11">
        <v>1</v>
      </c>
      <c r="AC236" s="3">
        <f t="shared" si="456"/>
        <v>-2</v>
      </c>
      <c r="AD236" s="3" t="s">
        <v>83</v>
      </c>
      <c r="AE236" s="3">
        <f>Results!$O$60</f>
        <v>6</v>
      </c>
      <c r="AF236" s="11">
        <v>1</v>
      </c>
      <c r="AG236" s="3">
        <f t="shared" si="457"/>
        <v>6</v>
      </c>
      <c r="AI236" s="3" t="s">
        <v>114</v>
      </c>
      <c r="AJ236" s="3">
        <f>Results!$O$45</f>
        <v>-3</v>
      </c>
      <c r="AK236" s="11">
        <v>1</v>
      </c>
      <c r="AL236" s="3">
        <f t="shared" si="458"/>
        <v>-3</v>
      </c>
      <c r="AM236" s="3" t="s">
        <v>117</v>
      </c>
      <c r="AN236" s="3">
        <f>Results!$O$50</f>
        <v>9</v>
      </c>
      <c r="AO236" s="11">
        <v>2</v>
      </c>
      <c r="AP236" s="3">
        <f t="shared" si="459"/>
        <v>18</v>
      </c>
      <c r="AQ236" s="3" t="s">
        <v>120</v>
      </c>
      <c r="AR236" s="3">
        <f>Results!$O$55</f>
        <v>-2</v>
      </c>
      <c r="AS236" s="11"/>
      <c r="AT236" s="3">
        <f t="shared" si="460"/>
        <v>0</v>
      </c>
      <c r="AU236" s="3" t="s">
        <v>83</v>
      </c>
      <c r="AV236" s="3">
        <f>Results!$O$60</f>
        <v>6</v>
      </c>
      <c r="AW236" s="11">
        <v>1</v>
      </c>
      <c r="AX236" s="3">
        <f t="shared" si="461"/>
        <v>6</v>
      </c>
    </row>
    <row r="237" spans="1:50" ht="13.5" customHeight="1" thickBot="1" x14ac:dyDescent="0.25">
      <c r="A237" s="19" t="s">
        <v>115</v>
      </c>
      <c r="B237" s="19">
        <f>Results!$O$46</f>
        <v>12</v>
      </c>
      <c r="C237" s="20">
        <v>2</v>
      </c>
      <c r="D237" s="19">
        <f t="shared" si="450"/>
        <v>24</v>
      </c>
      <c r="E237" s="19" t="s">
        <v>118</v>
      </c>
      <c r="F237" s="19">
        <f>Results!$O$51</f>
        <v>-1</v>
      </c>
      <c r="G237" s="20"/>
      <c r="H237" s="19">
        <f t="shared" si="451"/>
        <v>0</v>
      </c>
      <c r="I237" s="19" t="s">
        <v>121</v>
      </c>
      <c r="J237" s="19">
        <f>Results!$O$56</f>
        <v>9</v>
      </c>
      <c r="K237" s="20">
        <v>3</v>
      </c>
      <c r="L237" s="19">
        <f t="shared" si="452"/>
        <v>27</v>
      </c>
      <c r="M237" s="19" t="s">
        <v>122</v>
      </c>
      <c r="N237" s="19">
        <f>Results!$O$61</f>
        <v>-3</v>
      </c>
      <c r="O237" s="20"/>
      <c r="P237" s="19">
        <f t="shared" si="453"/>
        <v>0</v>
      </c>
      <c r="R237" s="19" t="s">
        <v>115</v>
      </c>
      <c r="S237" s="19">
        <f>Results!$O$46</f>
        <v>12</v>
      </c>
      <c r="T237" s="20">
        <v>1</v>
      </c>
      <c r="U237" s="19">
        <f t="shared" si="454"/>
        <v>12</v>
      </c>
      <c r="V237" s="19" t="s">
        <v>118</v>
      </c>
      <c r="W237" s="19">
        <f>Results!$O$51</f>
        <v>-1</v>
      </c>
      <c r="X237" s="20"/>
      <c r="Y237" s="19">
        <f t="shared" si="455"/>
        <v>0</v>
      </c>
      <c r="Z237" s="19" t="s">
        <v>121</v>
      </c>
      <c r="AA237" s="19">
        <f>Results!$O$56</f>
        <v>9</v>
      </c>
      <c r="AB237" s="20">
        <v>3</v>
      </c>
      <c r="AC237" s="19">
        <f t="shared" si="456"/>
        <v>27</v>
      </c>
      <c r="AD237" s="19" t="s">
        <v>122</v>
      </c>
      <c r="AE237" s="19">
        <f>Results!$O$61</f>
        <v>-3</v>
      </c>
      <c r="AF237" s="20"/>
      <c r="AG237" s="19">
        <f t="shared" si="457"/>
        <v>0</v>
      </c>
      <c r="AI237" s="19" t="s">
        <v>115</v>
      </c>
      <c r="AJ237" s="19">
        <f>Results!$O$46</f>
        <v>12</v>
      </c>
      <c r="AK237" s="20">
        <v>3</v>
      </c>
      <c r="AL237" s="19">
        <f t="shared" si="458"/>
        <v>36</v>
      </c>
      <c r="AM237" s="19" t="s">
        <v>118</v>
      </c>
      <c r="AN237" s="19">
        <f>Results!$O$51</f>
        <v>-1</v>
      </c>
      <c r="AO237" s="20"/>
      <c r="AP237" s="19">
        <f t="shared" si="459"/>
        <v>0</v>
      </c>
      <c r="AQ237" s="19" t="s">
        <v>121</v>
      </c>
      <c r="AR237" s="19">
        <f>Results!$O$56</f>
        <v>9</v>
      </c>
      <c r="AS237" s="20">
        <v>2</v>
      </c>
      <c r="AT237" s="19">
        <f t="shared" si="460"/>
        <v>18</v>
      </c>
      <c r="AU237" s="19" t="s">
        <v>122</v>
      </c>
      <c r="AV237" s="19">
        <f>Results!$O$61</f>
        <v>-3</v>
      </c>
      <c r="AW237" s="20"/>
      <c r="AX237" s="19">
        <f t="shared" si="461"/>
        <v>0</v>
      </c>
    </row>
    <row r="238" spans="1:50" s="27" customFormat="1" ht="13.5" customHeight="1" thickBot="1" x14ac:dyDescent="0.25">
      <c r="A238" s="35"/>
      <c r="B238" s="36"/>
      <c r="C238" s="37"/>
      <c r="D238" s="36"/>
      <c r="E238" s="36"/>
      <c r="F238" s="36"/>
      <c r="G238" s="37"/>
      <c r="H238" s="36"/>
      <c r="I238" s="36"/>
      <c r="J238" s="36"/>
      <c r="K238" s="37"/>
      <c r="L238" s="36"/>
      <c r="M238" s="36"/>
      <c r="N238" s="36"/>
      <c r="O238" s="37"/>
      <c r="P238" s="36"/>
      <c r="R238" s="35"/>
      <c r="S238" s="36"/>
      <c r="T238" s="37"/>
      <c r="U238" s="36"/>
      <c r="V238" s="36"/>
      <c r="W238" s="36"/>
      <c r="X238" s="37"/>
      <c r="Y238" s="36"/>
      <c r="Z238" s="36"/>
      <c r="AA238" s="36"/>
      <c r="AB238" s="37"/>
      <c r="AC238" s="36"/>
      <c r="AD238" s="36"/>
      <c r="AE238" s="36"/>
      <c r="AF238" s="37"/>
      <c r="AG238" s="36"/>
      <c r="AI238" s="35"/>
      <c r="AJ238" s="36"/>
      <c r="AK238" s="37"/>
      <c r="AL238" s="36"/>
      <c r="AM238" s="36"/>
      <c r="AN238" s="36"/>
      <c r="AO238" s="37"/>
      <c r="AP238" s="36"/>
      <c r="AQ238" s="36"/>
      <c r="AR238" s="36"/>
      <c r="AS238" s="37"/>
      <c r="AT238" s="36"/>
      <c r="AU238" s="36"/>
      <c r="AV238" s="36"/>
      <c r="AW238" s="37"/>
      <c r="AX238" s="36"/>
    </row>
    <row r="239" spans="1:50" ht="13.5" customHeight="1" x14ac:dyDescent="0.2">
      <c r="A239" s="12" t="s">
        <v>0</v>
      </c>
      <c r="B239" s="59" t="s">
        <v>156</v>
      </c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13" t="s">
        <v>50</v>
      </c>
      <c r="N239" s="61">
        <f>SUM(D241:D244,D246:D249,H241:H244, H246:H249,L241:L244,L246:L249,P241:P244,P246:P249,D251:D254,H251:H254,L251:L254,P251:P254)</f>
        <v>376</v>
      </c>
      <c r="O239" s="61"/>
      <c r="P239" s="66"/>
      <c r="R239" s="12" t="s">
        <v>0</v>
      </c>
      <c r="S239" s="59" t="s">
        <v>159</v>
      </c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13" t="s">
        <v>50</v>
      </c>
      <c r="AE239" s="61">
        <f>SUM(U241:U244,U246:U249,Y241:Y244, Y246:Y249,AC241:AC244,AC246:AC249,AG241:AG244,AG246:AG249,U251:U254,Y251:Y254,AC251:AC254,AG251:AG254)</f>
        <v>369</v>
      </c>
      <c r="AF239" s="61"/>
      <c r="AG239" s="66"/>
      <c r="AI239" s="12" t="s">
        <v>0</v>
      </c>
      <c r="AJ239" s="59" t="s">
        <v>163</v>
      </c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13" t="s">
        <v>50</v>
      </c>
      <c r="AV239" s="61">
        <f>SUM(AL241:AL244,AL246:AL249,AP241:AP244, AP246:AP249,AT241:AT244,AT246:AT249,AX241:AX244,AX246:AX249,AL251:AL254,AP251:AP254,AT251:AT254,AX251:AX254)</f>
        <v>319</v>
      </c>
      <c r="AW239" s="61"/>
      <c r="AX239" s="66"/>
    </row>
    <row r="240" spans="1:50" ht="13.5" customHeight="1" x14ac:dyDescent="0.2">
      <c r="A240" s="14" t="s">
        <v>3</v>
      </c>
      <c r="B240" s="15" t="s">
        <v>51</v>
      </c>
      <c r="C240" s="16" t="s">
        <v>21</v>
      </c>
      <c r="D240" s="15" t="s">
        <v>49</v>
      </c>
      <c r="E240" s="15" t="s">
        <v>6</v>
      </c>
      <c r="F240" s="15" t="s">
        <v>51</v>
      </c>
      <c r="G240" s="16" t="s">
        <v>21</v>
      </c>
      <c r="H240" s="15" t="s">
        <v>49</v>
      </c>
      <c r="I240" s="15" t="s">
        <v>7</v>
      </c>
      <c r="J240" s="15" t="s">
        <v>51</v>
      </c>
      <c r="K240" s="16" t="s">
        <v>21</v>
      </c>
      <c r="L240" s="15" t="s">
        <v>49</v>
      </c>
      <c r="M240" s="15" t="s">
        <v>13</v>
      </c>
      <c r="N240" s="15" t="s">
        <v>51</v>
      </c>
      <c r="O240" s="16" t="s">
        <v>21</v>
      </c>
      <c r="P240" s="17" t="s">
        <v>49</v>
      </c>
      <c r="R240" s="14" t="s">
        <v>3</v>
      </c>
      <c r="S240" s="15" t="s">
        <v>51</v>
      </c>
      <c r="T240" s="16" t="s">
        <v>21</v>
      </c>
      <c r="U240" s="15" t="s">
        <v>49</v>
      </c>
      <c r="V240" s="15" t="s">
        <v>6</v>
      </c>
      <c r="W240" s="15" t="s">
        <v>51</v>
      </c>
      <c r="X240" s="16" t="s">
        <v>21</v>
      </c>
      <c r="Y240" s="15" t="s">
        <v>49</v>
      </c>
      <c r="Z240" s="15" t="s">
        <v>7</v>
      </c>
      <c r="AA240" s="15" t="s">
        <v>51</v>
      </c>
      <c r="AB240" s="16" t="s">
        <v>21</v>
      </c>
      <c r="AC240" s="15" t="s">
        <v>49</v>
      </c>
      <c r="AD240" s="15" t="s">
        <v>13</v>
      </c>
      <c r="AE240" s="15" t="s">
        <v>51</v>
      </c>
      <c r="AF240" s="16" t="s">
        <v>21</v>
      </c>
      <c r="AG240" s="17" t="s">
        <v>49</v>
      </c>
      <c r="AI240" s="14" t="s">
        <v>3</v>
      </c>
      <c r="AJ240" s="15" t="s">
        <v>51</v>
      </c>
      <c r="AK240" s="16" t="s">
        <v>21</v>
      </c>
      <c r="AL240" s="15" t="s">
        <v>49</v>
      </c>
      <c r="AM240" s="15" t="s">
        <v>6</v>
      </c>
      <c r="AN240" s="15" t="s">
        <v>51</v>
      </c>
      <c r="AO240" s="16" t="s">
        <v>21</v>
      </c>
      <c r="AP240" s="15" t="s">
        <v>49</v>
      </c>
      <c r="AQ240" s="15" t="s">
        <v>7</v>
      </c>
      <c r="AR240" s="15" t="s">
        <v>51</v>
      </c>
      <c r="AS240" s="16" t="s">
        <v>21</v>
      </c>
      <c r="AT240" s="15" t="s">
        <v>49</v>
      </c>
      <c r="AU240" s="15" t="s">
        <v>13</v>
      </c>
      <c r="AV240" s="15" t="s">
        <v>51</v>
      </c>
      <c r="AW240" s="16" t="s">
        <v>21</v>
      </c>
      <c r="AX240" s="17" t="s">
        <v>49</v>
      </c>
    </row>
    <row r="241" spans="1:50" ht="13.5" customHeight="1" x14ac:dyDescent="0.2">
      <c r="A241" s="3" t="s">
        <v>71</v>
      </c>
      <c r="B241" s="3">
        <f>Results!$O$3</f>
        <v>3</v>
      </c>
      <c r="C241" s="11">
        <v>3</v>
      </c>
      <c r="D241" s="3">
        <f t="shared" ref="D241:D244" si="462">B241*C241</f>
        <v>9</v>
      </c>
      <c r="E241" s="3" t="s">
        <v>76</v>
      </c>
      <c r="F241" s="3">
        <f>Results!$O$8</f>
        <v>2</v>
      </c>
      <c r="G241" s="11">
        <v>2</v>
      </c>
      <c r="H241" s="3">
        <f t="shared" ref="H241:H244" si="463">F241*G241</f>
        <v>4</v>
      </c>
      <c r="I241" s="3" t="s">
        <v>80</v>
      </c>
      <c r="J241" s="3">
        <f>Results!$O$13</f>
        <v>2</v>
      </c>
      <c r="K241" s="11">
        <v>3</v>
      </c>
      <c r="L241" s="3">
        <f t="shared" ref="L241:L244" si="464">J241*K241</f>
        <v>6</v>
      </c>
      <c r="M241" s="3" t="s">
        <v>68</v>
      </c>
      <c r="N241" s="3">
        <f>Results!$O$18</f>
        <v>11</v>
      </c>
      <c r="O241" s="11">
        <v>3</v>
      </c>
      <c r="P241" s="18">
        <f>N241*O241</f>
        <v>33</v>
      </c>
      <c r="R241" s="3" t="s">
        <v>71</v>
      </c>
      <c r="S241" s="3">
        <f>Results!$O$3</f>
        <v>3</v>
      </c>
      <c r="T241" s="11">
        <v>3</v>
      </c>
      <c r="U241" s="3">
        <f t="shared" ref="U241:U244" si="465">S241*T241</f>
        <v>9</v>
      </c>
      <c r="V241" s="3" t="s">
        <v>76</v>
      </c>
      <c r="W241" s="3">
        <f>Results!$O$8</f>
        <v>2</v>
      </c>
      <c r="X241" s="11">
        <v>2</v>
      </c>
      <c r="Y241" s="3">
        <f t="shared" ref="Y241:Y244" si="466">W241*X241</f>
        <v>4</v>
      </c>
      <c r="Z241" s="3" t="s">
        <v>80</v>
      </c>
      <c r="AA241" s="3">
        <f>Results!$O$13</f>
        <v>2</v>
      </c>
      <c r="AB241" s="11">
        <v>3</v>
      </c>
      <c r="AC241" s="3">
        <f t="shared" ref="AC241:AC244" si="467">AA241*AB241</f>
        <v>6</v>
      </c>
      <c r="AD241" s="3" t="s">
        <v>68</v>
      </c>
      <c r="AE241" s="3">
        <f>Results!$O$18</f>
        <v>11</v>
      </c>
      <c r="AF241" s="11">
        <v>3</v>
      </c>
      <c r="AG241" s="18">
        <f>AE241*AF241</f>
        <v>33</v>
      </c>
      <c r="AI241" s="3" t="s">
        <v>71</v>
      </c>
      <c r="AJ241" s="3">
        <f>Results!$O$3</f>
        <v>3</v>
      </c>
      <c r="AK241" s="11">
        <v>3</v>
      </c>
      <c r="AL241" s="3">
        <f t="shared" ref="AL241:AL244" si="468">AJ241*AK241</f>
        <v>9</v>
      </c>
      <c r="AM241" s="3" t="s">
        <v>76</v>
      </c>
      <c r="AN241" s="3">
        <f>Results!$O$8</f>
        <v>2</v>
      </c>
      <c r="AO241" s="11">
        <v>2</v>
      </c>
      <c r="AP241" s="3">
        <f t="shared" ref="AP241:AP244" si="469">AN241*AO241</f>
        <v>4</v>
      </c>
      <c r="AQ241" s="3" t="s">
        <v>80</v>
      </c>
      <c r="AR241" s="3">
        <f>Results!$O$13</f>
        <v>2</v>
      </c>
      <c r="AS241" s="11">
        <v>3</v>
      </c>
      <c r="AT241" s="3">
        <f t="shared" ref="AT241:AT244" si="470">AR241*AS241</f>
        <v>6</v>
      </c>
      <c r="AU241" s="3" t="s">
        <v>68</v>
      </c>
      <c r="AV241" s="3">
        <f>Results!$O$18</f>
        <v>11</v>
      </c>
      <c r="AW241" s="11"/>
      <c r="AX241" s="18">
        <f>AV241*AW241</f>
        <v>0</v>
      </c>
    </row>
    <row r="242" spans="1:50" ht="13.5" customHeight="1" x14ac:dyDescent="0.2">
      <c r="A242" s="3" t="s">
        <v>123</v>
      </c>
      <c r="B242" s="3">
        <f>Results!$O$4</f>
        <v>-14</v>
      </c>
      <c r="C242" s="11"/>
      <c r="D242" s="3">
        <f t="shared" si="462"/>
        <v>0</v>
      </c>
      <c r="E242" s="3" t="s">
        <v>103</v>
      </c>
      <c r="F242" s="3">
        <f>Results!$O$9</f>
        <v>1</v>
      </c>
      <c r="G242" s="11">
        <v>1</v>
      </c>
      <c r="H242" s="3">
        <f t="shared" si="463"/>
        <v>1</v>
      </c>
      <c r="I242" s="3" t="s">
        <v>77</v>
      </c>
      <c r="J242" s="3">
        <f>Results!$O$14</f>
        <v>4</v>
      </c>
      <c r="K242" s="11">
        <v>2</v>
      </c>
      <c r="L242" s="3">
        <f t="shared" si="464"/>
        <v>8</v>
      </c>
      <c r="M242" s="3" t="s">
        <v>106</v>
      </c>
      <c r="N242" s="3">
        <f>Results!$O$19</f>
        <v>-7</v>
      </c>
      <c r="O242" s="11"/>
      <c r="P242" s="18">
        <f>N242*O242</f>
        <v>0</v>
      </c>
      <c r="R242" s="3" t="s">
        <v>123</v>
      </c>
      <c r="S242" s="3">
        <f>Results!$O$4</f>
        <v>-14</v>
      </c>
      <c r="T242" s="11"/>
      <c r="U242" s="3">
        <f t="shared" si="465"/>
        <v>0</v>
      </c>
      <c r="V242" s="3" t="s">
        <v>103</v>
      </c>
      <c r="W242" s="3">
        <f>Results!$O$9</f>
        <v>1</v>
      </c>
      <c r="X242" s="11"/>
      <c r="Y242" s="3">
        <f t="shared" si="466"/>
        <v>0</v>
      </c>
      <c r="Z242" s="3" t="s">
        <v>77</v>
      </c>
      <c r="AA242" s="3">
        <f>Results!$O$14</f>
        <v>4</v>
      </c>
      <c r="AB242" s="11">
        <v>2</v>
      </c>
      <c r="AC242" s="3">
        <f t="shared" si="467"/>
        <v>8</v>
      </c>
      <c r="AD242" s="3" t="s">
        <v>106</v>
      </c>
      <c r="AE242" s="3">
        <f>Results!$O$19</f>
        <v>-7</v>
      </c>
      <c r="AF242" s="11">
        <v>2</v>
      </c>
      <c r="AG242" s="18">
        <f>AE242*AF242</f>
        <v>-14</v>
      </c>
      <c r="AI242" s="3" t="s">
        <v>123</v>
      </c>
      <c r="AJ242" s="3">
        <f>Results!$O$4</f>
        <v>-14</v>
      </c>
      <c r="AK242" s="11"/>
      <c r="AL242" s="3">
        <f t="shared" si="468"/>
        <v>0</v>
      </c>
      <c r="AM242" s="3" t="s">
        <v>103</v>
      </c>
      <c r="AN242" s="3">
        <f>Results!$O$9</f>
        <v>1</v>
      </c>
      <c r="AO242" s="11"/>
      <c r="AP242" s="3">
        <f t="shared" si="469"/>
        <v>0</v>
      </c>
      <c r="AQ242" s="3" t="s">
        <v>77</v>
      </c>
      <c r="AR242" s="3">
        <f>Results!$O$14</f>
        <v>4</v>
      </c>
      <c r="AS242" s="11">
        <v>2</v>
      </c>
      <c r="AT242" s="3">
        <f t="shared" si="470"/>
        <v>8</v>
      </c>
      <c r="AU242" s="3" t="s">
        <v>106</v>
      </c>
      <c r="AV242" s="3">
        <f>Results!$O$19</f>
        <v>-7</v>
      </c>
      <c r="AW242" s="11">
        <v>1</v>
      </c>
      <c r="AX242" s="18">
        <f>AV242*AW242</f>
        <v>-7</v>
      </c>
    </row>
    <row r="243" spans="1:50" ht="13.5" customHeight="1" x14ac:dyDescent="0.2">
      <c r="A243" s="3" t="s">
        <v>124</v>
      </c>
      <c r="B243" s="3">
        <f>Results!$O$5</f>
        <v>7</v>
      </c>
      <c r="C243" s="11">
        <v>1</v>
      </c>
      <c r="D243" s="3">
        <f t="shared" si="462"/>
        <v>7</v>
      </c>
      <c r="E243" s="3" t="s">
        <v>65</v>
      </c>
      <c r="F243" s="3">
        <f>Results!$O$10</f>
        <v>2</v>
      </c>
      <c r="G243" s="11"/>
      <c r="H243" s="3">
        <f t="shared" si="463"/>
        <v>0</v>
      </c>
      <c r="I243" s="3" t="s">
        <v>104</v>
      </c>
      <c r="J243" s="3">
        <f>Results!$O$15</f>
        <v>-2</v>
      </c>
      <c r="K243" s="11"/>
      <c r="L243" s="3">
        <f t="shared" si="464"/>
        <v>0</v>
      </c>
      <c r="M243" s="3" t="s">
        <v>72</v>
      </c>
      <c r="N243" s="3">
        <f>Results!$O$20</f>
        <v>9</v>
      </c>
      <c r="O243" s="11">
        <v>1</v>
      </c>
      <c r="P243" s="18">
        <f>N243*O243</f>
        <v>9</v>
      </c>
      <c r="R243" s="3" t="s">
        <v>124</v>
      </c>
      <c r="S243" s="3">
        <f>Results!$O$5</f>
        <v>7</v>
      </c>
      <c r="T243" s="11">
        <v>1</v>
      </c>
      <c r="U243" s="3">
        <f t="shared" si="465"/>
        <v>7</v>
      </c>
      <c r="V243" s="3" t="s">
        <v>65</v>
      </c>
      <c r="W243" s="3">
        <f>Results!$O$10</f>
        <v>2</v>
      </c>
      <c r="X243" s="11">
        <v>1</v>
      </c>
      <c r="Y243" s="3">
        <f t="shared" si="466"/>
        <v>2</v>
      </c>
      <c r="Z243" s="3" t="s">
        <v>104</v>
      </c>
      <c r="AA243" s="3">
        <f>Results!$O$15</f>
        <v>-2</v>
      </c>
      <c r="AB243" s="11"/>
      <c r="AC243" s="3">
        <f t="shared" si="467"/>
        <v>0</v>
      </c>
      <c r="AD243" s="3" t="s">
        <v>72</v>
      </c>
      <c r="AE243" s="3">
        <f>Results!$O$20</f>
        <v>9</v>
      </c>
      <c r="AF243" s="11"/>
      <c r="AG243" s="18">
        <f>AE243*AF243</f>
        <v>0</v>
      </c>
      <c r="AI243" s="3" t="s">
        <v>124</v>
      </c>
      <c r="AJ243" s="3">
        <f>Results!$O$5</f>
        <v>7</v>
      </c>
      <c r="AK243" s="11">
        <v>2</v>
      </c>
      <c r="AL243" s="3">
        <f t="shared" si="468"/>
        <v>14</v>
      </c>
      <c r="AM243" s="3" t="s">
        <v>65</v>
      </c>
      <c r="AN243" s="3">
        <f>Results!$O$10</f>
        <v>2</v>
      </c>
      <c r="AO243" s="11">
        <v>1</v>
      </c>
      <c r="AP243" s="3">
        <f t="shared" si="469"/>
        <v>2</v>
      </c>
      <c r="AQ243" s="3" t="s">
        <v>104</v>
      </c>
      <c r="AR243" s="3">
        <f>Results!$O$15</f>
        <v>-2</v>
      </c>
      <c r="AS243" s="11"/>
      <c r="AT243" s="3">
        <f t="shared" si="470"/>
        <v>0</v>
      </c>
      <c r="AU243" s="3" t="s">
        <v>72</v>
      </c>
      <c r="AV243" s="3">
        <f>Results!$O$20</f>
        <v>9</v>
      </c>
      <c r="AW243" s="11">
        <v>2</v>
      </c>
      <c r="AX243" s="18">
        <f>AV243*AW243</f>
        <v>18</v>
      </c>
    </row>
    <row r="244" spans="1:50" ht="13.5" customHeight="1" x14ac:dyDescent="0.2">
      <c r="A244" s="3" t="s">
        <v>102</v>
      </c>
      <c r="B244" s="3">
        <f>Results!$O$6</f>
        <v>0</v>
      </c>
      <c r="C244" s="11">
        <v>2</v>
      </c>
      <c r="D244" s="3">
        <f t="shared" si="462"/>
        <v>0</v>
      </c>
      <c r="E244" s="3" t="s">
        <v>12</v>
      </c>
      <c r="F244" s="3">
        <f>Results!$O$11</f>
        <v>3</v>
      </c>
      <c r="G244" s="11">
        <v>3</v>
      </c>
      <c r="H244" s="3">
        <f t="shared" si="463"/>
        <v>9</v>
      </c>
      <c r="I244" s="3" t="s">
        <v>105</v>
      </c>
      <c r="J244" s="3">
        <f>Results!$O$16</f>
        <v>4</v>
      </c>
      <c r="K244" s="11">
        <v>1</v>
      </c>
      <c r="L244" s="3">
        <f t="shared" si="464"/>
        <v>4</v>
      </c>
      <c r="M244" s="3" t="s">
        <v>107</v>
      </c>
      <c r="N244" s="3">
        <f>Results!$O$21</f>
        <v>-3</v>
      </c>
      <c r="O244" s="11">
        <v>2</v>
      </c>
      <c r="P244" s="18">
        <f>N244*O244</f>
        <v>-6</v>
      </c>
      <c r="R244" s="3" t="s">
        <v>102</v>
      </c>
      <c r="S244" s="3">
        <f>Results!$O$6</f>
        <v>0</v>
      </c>
      <c r="T244" s="11">
        <v>2</v>
      </c>
      <c r="U244" s="3">
        <f t="shared" si="465"/>
        <v>0</v>
      </c>
      <c r="V244" s="3" t="s">
        <v>12</v>
      </c>
      <c r="W244" s="3">
        <f>Results!$O$11</f>
        <v>3</v>
      </c>
      <c r="X244" s="11">
        <v>3</v>
      </c>
      <c r="Y244" s="3">
        <f t="shared" si="466"/>
        <v>9</v>
      </c>
      <c r="Z244" s="3" t="s">
        <v>105</v>
      </c>
      <c r="AA244" s="3">
        <f>Results!$O$16</f>
        <v>4</v>
      </c>
      <c r="AB244" s="11">
        <v>1</v>
      </c>
      <c r="AC244" s="3">
        <f t="shared" si="467"/>
        <v>4</v>
      </c>
      <c r="AD244" s="3" t="s">
        <v>107</v>
      </c>
      <c r="AE244" s="3">
        <f>Results!$O$21</f>
        <v>-3</v>
      </c>
      <c r="AF244" s="11">
        <v>1</v>
      </c>
      <c r="AG244" s="18">
        <f>AE244*AF244</f>
        <v>-3</v>
      </c>
      <c r="AI244" s="3" t="s">
        <v>102</v>
      </c>
      <c r="AJ244" s="3">
        <f>Results!$O$6</f>
        <v>0</v>
      </c>
      <c r="AK244" s="11">
        <v>1</v>
      </c>
      <c r="AL244" s="3">
        <f t="shared" si="468"/>
        <v>0</v>
      </c>
      <c r="AM244" s="3" t="s">
        <v>12</v>
      </c>
      <c r="AN244" s="3">
        <f>Results!$O$11</f>
        <v>3</v>
      </c>
      <c r="AO244" s="11">
        <v>3</v>
      </c>
      <c r="AP244" s="3">
        <f t="shared" si="469"/>
        <v>9</v>
      </c>
      <c r="AQ244" s="3" t="s">
        <v>105</v>
      </c>
      <c r="AR244" s="3">
        <f>Results!$O$16</f>
        <v>4</v>
      </c>
      <c r="AS244" s="11">
        <v>1</v>
      </c>
      <c r="AT244" s="3">
        <f t="shared" si="470"/>
        <v>4</v>
      </c>
      <c r="AU244" s="3" t="s">
        <v>107</v>
      </c>
      <c r="AV244" s="3">
        <f>Results!$O$21</f>
        <v>-3</v>
      </c>
      <c r="AW244" s="11">
        <v>3</v>
      </c>
      <c r="AX244" s="18">
        <f>AV244*AW244</f>
        <v>-9</v>
      </c>
    </row>
    <row r="245" spans="1:50" ht="13.5" customHeight="1" x14ac:dyDescent="0.2">
      <c r="A245" s="14" t="s">
        <v>14</v>
      </c>
      <c r="B245" s="15" t="s">
        <v>51</v>
      </c>
      <c r="C245" s="16" t="s">
        <v>21</v>
      </c>
      <c r="D245" s="15" t="s">
        <v>49</v>
      </c>
      <c r="E245" s="15" t="s">
        <v>15</v>
      </c>
      <c r="F245" s="15" t="s">
        <v>51</v>
      </c>
      <c r="G245" s="16" t="s">
        <v>21</v>
      </c>
      <c r="H245" s="15" t="s">
        <v>49</v>
      </c>
      <c r="I245" s="15" t="s">
        <v>78</v>
      </c>
      <c r="J245" s="15" t="s">
        <v>51</v>
      </c>
      <c r="K245" s="16" t="s">
        <v>21</v>
      </c>
      <c r="L245" s="15" t="s">
        <v>49</v>
      </c>
      <c r="M245" s="15" t="s">
        <v>79</v>
      </c>
      <c r="N245" s="15" t="s">
        <v>51</v>
      </c>
      <c r="O245" s="16" t="s">
        <v>21</v>
      </c>
      <c r="P245" s="15" t="s">
        <v>49</v>
      </c>
      <c r="R245" s="14" t="s">
        <v>14</v>
      </c>
      <c r="S245" s="15" t="s">
        <v>51</v>
      </c>
      <c r="T245" s="16" t="s">
        <v>21</v>
      </c>
      <c r="U245" s="15" t="s">
        <v>49</v>
      </c>
      <c r="V245" s="15" t="s">
        <v>15</v>
      </c>
      <c r="W245" s="15" t="s">
        <v>51</v>
      </c>
      <c r="X245" s="16" t="s">
        <v>21</v>
      </c>
      <c r="Y245" s="15" t="s">
        <v>49</v>
      </c>
      <c r="Z245" s="15" t="s">
        <v>78</v>
      </c>
      <c r="AA245" s="15" t="s">
        <v>51</v>
      </c>
      <c r="AB245" s="16" t="s">
        <v>21</v>
      </c>
      <c r="AC245" s="15" t="s">
        <v>49</v>
      </c>
      <c r="AD245" s="15" t="s">
        <v>79</v>
      </c>
      <c r="AE245" s="15" t="s">
        <v>51</v>
      </c>
      <c r="AF245" s="16" t="s">
        <v>21</v>
      </c>
      <c r="AG245" s="15" t="s">
        <v>49</v>
      </c>
      <c r="AI245" s="14" t="s">
        <v>14</v>
      </c>
      <c r="AJ245" s="15" t="s">
        <v>51</v>
      </c>
      <c r="AK245" s="16" t="s">
        <v>21</v>
      </c>
      <c r="AL245" s="15" t="s">
        <v>49</v>
      </c>
      <c r="AM245" s="15" t="s">
        <v>15</v>
      </c>
      <c r="AN245" s="15" t="s">
        <v>51</v>
      </c>
      <c r="AO245" s="16" t="s">
        <v>21</v>
      </c>
      <c r="AP245" s="15" t="s">
        <v>49</v>
      </c>
      <c r="AQ245" s="15" t="s">
        <v>78</v>
      </c>
      <c r="AR245" s="15" t="s">
        <v>51</v>
      </c>
      <c r="AS245" s="16" t="s">
        <v>21</v>
      </c>
      <c r="AT245" s="15" t="s">
        <v>49</v>
      </c>
      <c r="AU245" s="15" t="s">
        <v>79</v>
      </c>
      <c r="AV245" s="15" t="s">
        <v>51</v>
      </c>
      <c r="AW245" s="16" t="s">
        <v>21</v>
      </c>
      <c r="AX245" s="15" t="s">
        <v>49</v>
      </c>
    </row>
    <row r="246" spans="1:50" ht="13.5" customHeight="1" x14ac:dyDescent="0.2">
      <c r="A246" s="3" t="s">
        <v>11</v>
      </c>
      <c r="B246" s="3">
        <f>Results!$O$23</f>
        <v>18</v>
      </c>
      <c r="C246" s="11">
        <v>3</v>
      </c>
      <c r="D246" s="3">
        <f t="shared" ref="D246:D249" si="471">B246*C246</f>
        <v>54</v>
      </c>
      <c r="E246" s="3" t="s">
        <v>57</v>
      </c>
      <c r="F246" s="3">
        <f>Results!$O$28</f>
        <v>2</v>
      </c>
      <c r="G246" s="11">
        <v>3</v>
      </c>
      <c r="H246" s="3">
        <f t="shared" ref="H246:H249" si="472">F246*G246</f>
        <v>6</v>
      </c>
      <c r="I246" s="3" t="s">
        <v>18</v>
      </c>
      <c r="J246" s="3">
        <f>Results!$O$33</f>
        <v>2</v>
      </c>
      <c r="K246" s="11">
        <v>3</v>
      </c>
      <c r="L246" s="3">
        <f t="shared" ref="L246:L249" si="473">J246*K246</f>
        <v>6</v>
      </c>
      <c r="M246" s="3" t="s">
        <v>17</v>
      </c>
      <c r="N246" s="3">
        <f>Results!$O$38</f>
        <v>2</v>
      </c>
      <c r="O246" s="11">
        <v>5</v>
      </c>
      <c r="P246" s="3">
        <f t="shared" ref="P246:P249" si="474">N246*O246</f>
        <v>10</v>
      </c>
      <c r="R246" s="3" t="s">
        <v>11</v>
      </c>
      <c r="S246" s="3">
        <f>Results!$O$23</f>
        <v>18</v>
      </c>
      <c r="T246" s="11">
        <v>3</v>
      </c>
      <c r="U246" s="3">
        <f t="shared" ref="U246:U249" si="475">S246*T246</f>
        <v>54</v>
      </c>
      <c r="V246" s="3" t="s">
        <v>57</v>
      </c>
      <c r="W246" s="3">
        <f>Results!$O$28</f>
        <v>2</v>
      </c>
      <c r="X246" s="11">
        <v>3</v>
      </c>
      <c r="Y246" s="3">
        <f t="shared" ref="Y246:Y249" si="476">W246*X246</f>
        <v>6</v>
      </c>
      <c r="Z246" s="3" t="s">
        <v>18</v>
      </c>
      <c r="AA246" s="3">
        <f>Results!$O$33</f>
        <v>2</v>
      </c>
      <c r="AB246" s="11">
        <v>3</v>
      </c>
      <c r="AC246" s="3">
        <f t="shared" ref="AC246:AC249" si="477">AA246*AB246</f>
        <v>6</v>
      </c>
      <c r="AD246" s="3" t="s">
        <v>17</v>
      </c>
      <c r="AE246" s="3">
        <f>Results!$O$38</f>
        <v>2</v>
      </c>
      <c r="AF246" s="11">
        <v>3</v>
      </c>
      <c r="AG246" s="3">
        <f t="shared" ref="AG246:AG249" si="478">AE246*AF246</f>
        <v>6</v>
      </c>
      <c r="AI246" s="3" t="s">
        <v>11</v>
      </c>
      <c r="AJ246" s="3">
        <f>Results!$O$23</f>
        <v>18</v>
      </c>
      <c r="AK246" s="11">
        <v>3</v>
      </c>
      <c r="AL246" s="3">
        <f t="shared" ref="AL246:AL249" si="479">AJ246*AK246</f>
        <v>54</v>
      </c>
      <c r="AM246" s="3" t="s">
        <v>57</v>
      </c>
      <c r="AN246" s="3">
        <f>Results!$O$28</f>
        <v>2</v>
      </c>
      <c r="AO246" s="11">
        <v>2</v>
      </c>
      <c r="AP246" s="3">
        <f t="shared" ref="AP246:AP249" si="480">AN246*AO246</f>
        <v>4</v>
      </c>
      <c r="AQ246" s="3" t="s">
        <v>18</v>
      </c>
      <c r="AR246" s="3">
        <f>Results!$O$33</f>
        <v>2</v>
      </c>
      <c r="AS246" s="11">
        <v>3</v>
      </c>
      <c r="AT246" s="3">
        <f t="shared" ref="AT246:AT249" si="481">AR246*AS246</f>
        <v>6</v>
      </c>
      <c r="AU246" s="3" t="s">
        <v>17</v>
      </c>
      <c r="AV246" s="3">
        <f>Results!$O$38</f>
        <v>2</v>
      </c>
      <c r="AW246" s="11">
        <v>5</v>
      </c>
      <c r="AX246" s="3">
        <f t="shared" ref="AX246:AX249" si="482">AV246*AW246</f>
        <v>10</v>
      </c>
    </row>
    <row r="247" spans="1:50" ht="13.5" customHeight="1" x14ac:dyDescent="0.2">
      <c r="A247" s="3" t="s">
        <v>108</v>
      </c>
      <c r="B247" s="3">
        <f>Results!$O$24</f>
        <v>-5</v>
      </c>
      <c r="C247" s="11"/>
      <c r="D247" s="3">
        <f t="shared" si="471"/>
        <v>0</v>
      </c>
      <c r="E247" s="3" t="s">
        <v>75</v>
      </c>
      <c r="F247" s="3">
        <f>Results!$O$29</f>
        <v>5</v>
      </c>
      <c r="G247" s="11">
        <v>2</v>
      </c>
      <c r="H247" s="3">
        <f t="shared" si="472"/>
        <v>10</v>
      </c>
      <c r="I247" s="3" t="s">
        <v>111</v>
      </c>
      <c r="J247" s="3">
        <f>Results!$O$34</f>
        <v>2</v>
      </c>
      <c r="K247" s="11">
        <v>2</v>
      </c>
      <c r="L247" s="3">
        <f t="shared" si="473"/>
        <v>4</v>
      </c>
      <c r="M247" s="3" t="s">
        <v>113</v>
      </c>
      <c r="N247" s="3">
        <f>Results!$O$39</f>
        <v>2</v>
      </c>
      <c r="O247" s="11">
        <v>1</v>
      </c>
      <c r="P247" s="3">
        <f t="shared" si="474"/>
        <v>2</v>
      </c>
      <c r="R247" s="3" t="s">
        <v>108</v>
      </c>
      <c r="S247" s="3">
        <f>Results!$O$24</f>
        <v>-5</v>
      </c>
      <c r="T247" s="11"/>
      <c r="U247" s="3">
        <f t="shared" si="475"/>
        <v>0</v>
      </c>
      <c r="V247" s="3" t="s">
        <v>75</v>
      </c>
      <c r="W247" s="3">
        <f>Results!$O$29</f>
        <v>5</v>
      </c>
      <c r="X247" s="11">
        <v>1</v>
      </c>
      <c r="Y247" s="3">
        <f t="shared" si="476"/>
        <v>5</v>
      </c>
      <c r="Z247" s="3" t="s">
        <v>111</v>
      </c>
      <c r="AA247" s="3">
        <f>Results!$O$34</f>
        <v>2</v>
      </c>
      <c r="AB247" s="11">
        <v>2</v>
      </c>
      <c r="AC247" s="3">
        <f t="shared" si="477"/>
        <v>4</v>
      </c>
      <c r="AD247" s="3" t="s">
        <v>113</v>
      </c>
      <c r="AE247" s="3">
        <f>Results!$O$39</f>
        <v>2</v>
      </c>
      <c r="AF247" s="11"/>
      <c r="AG247" s="3">
        <f t="shared" si="478"/>
        <v>0</v>
      </c>
      <c r="AI247" s="3" t="s">
        <v>108</v>
      </c>
      <c r="AJ247" s="3">
        <f>Results!$O$24</f>
        <v>-5</v>
      </c>
      <c r="AK247" s="11"/>
      <c r="AL247" s="3">
        <f t="shared" si="479"/>
        <v>0</v>
      </c>
      <c r="AM247" s="3" t="s">
        <v>75</v>
      </c>
      <c r="AN247" s="3">
        <f>Results!$O$29</f>
        <v>5</v>
      </c>
      <c r="AO247" s="11">
        <v>3</v>
      </c>
      <c r="AP247" s="3">
        <f t="shared" si="480"/>
        <v>15</v>
      </c>
      <c r="AQ247" s="3" t="s">
        <v>111</v>
      </c>
      <c r="AR247" s="3">
        <f>Results!$O$34</f>
        <v>2</v>
      </c>
      <c r="AS247" s="11">
        <v>2</v>
      </c>
      <c r="AT247" s="3">
        <f t="shared" si="481"/>
        <v>4</v>
      </c>
      <c r="AU247" s="3" t="s">
        <v>113</v>
      </c>
      <c r="AV247" s="3">
        <f>Results!$O$39</f>
        <v>2</v>
      </c>
      <c r="AW247" s="11">
        <v>1</v>
      </c>
      <c r="AX247" s="3">
        <f t="shared" si="482"/>
        <v>2</v>
      </c>
    </row>
    <row r="248" spans="1:50" ht="13.5" customHeight="1" x14ac:dyDescent="0.2">
      <c r="A248" s="3" t="s">
        <v>109</v>
      </c>
      <c r="B248" s="3">
        <f>Results!$O$25</f>
        <v>4</v>
      </c>
      <c r="C248" s="11">
        <v>1</v>
      </c>
      <c r="D248" s="3">
        <f t="shared" si="471"/>
        <v>4</v>
      </c>
      <c r="E248" s="3" t="s">
        <v>110</v>
      </c>
      <c r="F248" s="3">
        <f>Results!$O$30</f>
        <v>14</v>
      </c>
      <c r="G248" s="11">
        <v>1</v>
      </c>
      <c r="H248" s="3">
        <f t="shared" si="472"/>
        <v>14</v>
      </c>
      <c r="I248" s="3" t="s">
        <v>67</v>
      </c>
      <c r="J248" s="3">
        <f>Results!$O$35</f>
        <v>4</v>
      </c>
      <c r="K248" s="11">
        <v>1</v>
      </c>
      <c r="L248" s="3">
        <f t="shared" si="473"/>
        <v>4</v>
      </c>
      <c r="M248" s="3" t="s">
        <v>70</v>
      </c>
      <c r="N248" s="3">
        <f>Results!$O$40</f>
        <v>3</v>
      </c>
      <c r="O248" s="11">
        <v>2</v>
      </c>
      <c r="P248" s="3">
        <f t="shared" si="474"/>
        <v>6</v>
      </c>
      <c r="R248" s="3" t="s">
        <v>109</v>
      </c>
      <c r="S248" s="3">
        <f>Results!$O$25</f>
        <v>4</v>
      </c>
      <c r="T248" s="11">
        <v>1</v>
      </c>
      <c r="U248" s="3">
        <f t="shared" si="475"/>
        <v>4</v>
      </c>
      <c r="V248" s="3" t="s">
        <v>110</v>
      </c>
      <c r="W248" s="3">
        <f>Results!$O$30</f>
        <v>14</v>
      </c>
      <c r="X248" s="11">
        <v>2</v>
      </c>
      <c r="Y248" s="3">
        <f t="shared" si="476"/>
        <v>28</v>
      </c>
      <c r="Z248" s="3" t="s">
        <v>67</v>
      </c>
      <c r="AA248" s="3">
        <f>Results!$O$35</f>
        <v>4</v>
      </c>
      <c r="AB248" s="11">
        <v>1</v>
      </c>
      <c r="AC248" s="3">
        <f t="shared" si="477"/>
        <v>4</v>
      </c>
      <c r="AD248" s="3" t="s">
        <v>70</v>
      </c>
      <c r="AE248" s="3">
        <f>Results!$O$40</f>
        <v>3</v>
      </c>
      <c r="AF248" s="11">
        <v>1</v>
      </c>
      <c r="AG248" s="3">
        <f t="shared" si="478"/>
        <v>3</v>
      </c>
      <c r="AI248" s="3" t="s">
        <v>109</v>
      </c>
      <c r="AJ248" s="3">
        <f>Results!$O$25</f>
        <v>4</v>
      </c>
      <c r="AK248" s="11">
        <v>1</v>
      </c>
      <c r="AL248" s="3">
        <f t="shared" si="479"/>
        <v>4</v>
      </c>
      <c r="AM248" s="3" t="s">
        <v>110</v>
      </c>
      <c r="AN248" s="3">
        <f>Results!$O$30</f>
        <v>14</v>
      </c>
      <c r="AO248" s="11"/>
      <c r="AP248" s="3">
        <f t="shared" si="480"/>
        <v>0</v>
      </c>
      <c r="AQ248" s="3" t="s">
        <v>67</v>
      </c>
      <c r="AR248" s="3">
        <f>Results!$O$35</f>
        <v>4</v>
      </c>
      <c r="AS248" s="11">
        <v>1</v>
      </c>
      <c r="AT248" s="3">
        <f t="shared" si="481"/>
        <v>4</v>
      </c>
      <c r="AU248" s="3" t="s">
        <v>70</v>
      </c>
      <c r="AV248" s="3">
        <f>Results!$O$40</f>
        <v>3</v>
      </c>
      <c r="AW248" s="11">
        <v>2</v>
      </c>
      <c r="AX248" s="3">
        <f t="shared" si="482"/>
        <v>6</v>
      </c>
    </row>
    <row r="249" spans="1:50" ht="13.5" customHeight="1" x14ac:dyDescent="0.2">
      <c r="A249" s="24" t="s">
        <v>91</v>
      </c>
      <c r="B249" s="24">
        <f>Results!$O$26</f>
        <v>-2</v>
      </c>
      <c r="C249" s="25">
        <v>2</v>
      </c>
      <c r="D249" s="24">
        <f t="shared" si="471"/>
        <v>-4</v>
      </c>
      <c r="E249" s="24" t="s">
        <v>73</v>
      </c>
      <c r="F249" s="24">
        <f>Results!$O$31</f>
        <v>-4</v>
      </c>
      <c r="G249" s="25"/>
      <c r="H249" s="24">
        <f t="shared" si="472"/>
        <v>0</v>
      </c>
      <c r="I249" s="24" t="s">
        <v>112</v>
      </c>
      <c r="J249" s="24">
        <f>Results!$O$36</f>
        <v>5</v>
      </c>
      <c r="K249" s="25"/>
      <c r="L249" s="24">
        <f t="shared" si="473"/>
        <v>0</v>
      </c>
      <c r="M249" s="24" t="s">
        <v>84</v>
      </c>
      <c r="N249" s="24">
        <f>Results!$O$41</f>
        <v>4</v>
      </c>
      <c r="O249" s="25">
        <v>3</v>
      </c>
      <c r="P249" s="24">
        <f t="shared" si="474"/>
        <v>12</v>
      </c>
      <c r="R249" s="24" t="s">
        <v>91</v>
      </c>
      <c r="S249" s="24">
        <f>Results!$O$26</f>
        <v>-2</v>
      </c>
      <c r="T249" s="25">
        <v>2</v>
      </c>
      <c r="U249" s="24">
        <f t="shared" si="475"/>
        <v>-4</v>
      </c>
      <c r="V249" s="24" t="s">
        <v>73</v>
      </c>
      <c r="W249" s="24">
        <f>Results!$O$31</f>
        <v>-4</v>
      </c>
      <c r="X249" s="25"/>
      <c r="Y249" s="24">
        <f t="shared" si="476"/>
        <v>0</v>
      </c>
      <c r="Z249" s="24" t="s">
        <v>112</v>
      </c>
      <c r="AA249" s="24">
        <f>Results!$O$36</f>
        <v>5</v>
      </c>
      <c r="AB249" s="25"/>
      <c r="AC249" s="24">
        <f t="shared" si="477"/>
        <v>0</v>
      </c>
      <c r="AD249" s="24" t="s">
        <v>84</v>
      </c>
      <c r="AE249" s="24">
        <f>Results!$O$41</f>
        <v>4</v>
      </c>
      <c r="AF249" s="25">
        <v>2</v>
      </c>
      <c r="AG249" s="24">
        <f t="shared" si="478"/>
        <v>8</v>
      </c>
      <c r="AI249" s="24" t="s">
        <v>91</v>
      </c>
      <c r="AJ249" s="24">
        <f>Results!$O$26</f>
        <v>-2</v>
      </c>
      <c r="AK249" s="25">
        <v>2</v>
      </c>
      <c r="AL249" s="24">
        <f t="shared" si="479"/>
        <v>-4</v>
      </c>
      <c r="AM249" s="24" t="s">
        <v>73</v>
      </c>
      <c r="AN249" s="24">
        <f>Results!$O$31</f>
        <v>-4</v>
      </c>
      <c r="AO249" s="25">
        <v>1</v>
      </c>
      <c r="AP249" s="24">
        <f t="shared" si="480"/>
        <v>-4</v>
      </c>
      <c r="AQ249" s="24" t="s">
        <v>112</v>
      </c>
      <c r="AR249" s="24">
        <f>Results!$O$36</f>
        <v>5</v>
      </c>
      <c r="AS249" s="25"/>
      <c r="AT249" s="24">
        <f t="shared" si="481"/>
        <v>0</v>
      </c>
      <c r="AU249" s="24" t="s">
        <v>84</v>
      </c>
      <c r="AV249" s="24">
        <f>Results!$O$41</f>
        <v>4</v>
      </c>
      <c r="AW249" s="25">
        <v>3</v>
      </c>
      <c r="AX249" s="24">
        <f t="shared" si="482"/>
        <v>12</v>
      </c>
    </row>
    <row r="250" spans="1:50" ht="13.5" customHeight="1" x14ac:dyDescent="0.2">
      <c r="A250" s="14" t="s">
        <v>97</v>
      </c>
      <c r="B250" s="15" t="s">
        <v>51</v>
      </c>
      <c r="C250" s="16" t="s">
        <v>21</v>
      </c>
      <c r="D250" s="15" t="s">
        <v>49</v>
      </c>
      <c r="E250" s="15" t="s">
        <v>98</v>
      </c>
      <c r="F250" s="15" t="s">
        <v>51</v>
      </c>
      <c r="G250" s="16" t="s">
        <v>21</v>
      </c>
      <c r="H250" s="15" t="s">
        <v>49</v>
      </c>
      <c r="I250" s="15" t="s">
        <v>99</v>
      </c>
      <c r="J250" s="15" t="s">
        <v>51</v>
      </c>
      <c r="K250" s="16" t="s">
        <v>21</v>
      </c>
      <c r="L250" s="15" t="s">
        <v>49</v>
      </c>
      <c r="M250" s="15" t="s">
        <v>100</v>
      </c>
      <c r="N250" s="15" t="s">
        <v>51</v>
      </c>
      <c r="O250" s="16" t="s">
        <v>21</v>
      </c>
      <c r="P250" s="15" t="s">
        <v>49</v>
      </c>
      <c r="R250" s="14" t="s">
        <v>97</v>
      </c>
      <c r="S250" s="15" t="s">
        <v>51</v>
      </c>
      <c r="T250" s="16" t="s">
        <v>21</v>
      </c>
      <c r="U250" s="15" t="s">
        <v>49</v>
      </c>
      <c r="V250" s="15" t="s">
        <v>98</v>
      </c>
      <c r="W250" s="15" t="s">
        <v>51</v>
      </c>
      <c r="X250" s="16" t="s">
        <v>21</v>
      </c>
      <c r="Y250" s="15" t="s">
        <v>49</v>
      </c>
      <c r="Z250" s="15" t="s">
        <v>99</v>
      </c>
      <c r="AA250" s="15" t="s">
        <v>51</v>
      </c>
      <c r="AB250" s="16" t="s">
        <v>21</v>
      </c>
      <c r="AC250" s="15" t="s">
        <v>49</v>
      </c>
      <c r="AD250" s="15" t="s">
        <v>100</v>
      </c>
      <c r="AE250" s="15" t="s">
        <v>51</v>
      </c>
      <c r="AF250" s="16" t="s">
        <v>21</v>
      </c>
      <c r="AG250" s="15" t="s">
        <v>49</v>
      </c>
      <c r="AI250" s="14" t="s">
        <v>97</v>
      </c>
      <c r="AJ250" s="15" t="s">
        <v>51</v>
      </c>
      <c r="AK250" s="16" t="s">
        <v>21</v>
      </c>
      <c r="AL250" s="15" t="s">
        <v>49</v>
      </c>
      <c r="AM250" s="15" t="s">
        <v>98</v>
      </c>
      <c r="AN250" s="15" t="s">
        <v>51</v>
      </c>
      <c r="AO250" s="16" t="s">
        <v>21</v>
      </c>
      <c r="AP250" s="15" t="s">
        <v>49</v>
      </c>
      <c r="AQ250" s="15" t="s">
        <v>99</v>
      </c>
      <c r="AR250" s="15" t="s">
        <v>51</v>
      </c>
      <c r="AS250" s="16" t="s">
        <v>21</v>
      </c>
      <c r="AT250" s="15" t="s">
        <v>49</v>
      </c>
      <c r="AU250" s="15" t="s">
        <v>100</v>
      </c>
      <c r="AV250" s="15" t="s">
        <v>51</v>
      </c>
      <c r="AW250" s="16" t="s">
        <v>21</v>
      </c>
      <c r="AX250" s="15" t="s">
        <v>49</v>
      </c>
    </row>
    <row r="251" spans="1:50" ht="13.5" customHeight="1" x14ac:dyDescent="0.2">
      <c r="A251" s="3" t="s">
        <v>8</v>
      </c>
      <c r="B251" s="3">
        <f>Results!$O$43</f>
        <v>10</v>
      </c>
      <c r="C251" s="11">
        <v>3</v>
      </c>
      <c r="D251" s="3">
        <f t="shared" ref="D251:D254" si="483">B251*C251</f>
        <v>30</v>
      </c>
      <c r="E251" s="3" t="s">
        <v>69</v>
      </c>
      <c r="F251" s="3">
        <f>Results!$O$48</f>
        <v>11</v>
      </c>
      <c r="G251" s="11">
        <v>3</v>
      </c>
      <c r="H251" s="3">
        <f t="shared" ref="H251:H254" si="484">F251*G251</f>
        <v>33</v>
      </c>
      <c r="I251" s="3" t="s">
        <v>19</v>
      </c>
      <c r="J251" s="3">
        <f>Results!$O$53</f>
        <v>1</v>
      </c>
      <c r="K251" s="11">
        <v>3</v>
      </c>
      <c r="L251" s="3">
        <f t="shared" ref="L251:L254" si="485">J251*K251</f>
        <v>3</v>
      </c>
      <c r="M251" s="3" t="s">
        <v>10</v>
      </c>
      <c r="N251" s="3">
        <f>Results!$O$58</f>
        <v>11</v>
      </c>
      <c r="O251" s="11">
        <v>3</v>
      </c>
      <c r="P251" s="3">
        <f t="shared" ref="P251:P254" si="486">N251*O251</f>
        <v>33</v>
      </c>
      <c r="R251" s="3" t="s">
        <v>8</v>
      </c>
      <c r="S251" s="3">
        <f>Results!$O$43</f>
        <v>10</v>
      </c>
      <c r="T251" s="11">
        <v>5</v>
      </c>
      <c r="U251" s="3">
        <f t="shared" ref="U251:U254" si="487">S251*T251</f>
        <v>50</v>
      </c>
      <c r="V251" s="3" t="s">
        <v>69</v>
      </c>
      <c r="W251" s="3">
        <f>Results!$O$48</f>
        <v>11</v>
      </c>
      <c r="X251" s="11">
        <v>3</v>
      </c>
      <c r="Y251" s="3">
        <f t="shared" ref="Y251:Y254" si="488">W251*X251</f>
        <v>33</v>
      </c>
      <c r="Z251" s="3" t="s">
        <v>19</v>
      </c>
      <c r="AA251" s="3">
        <f>Results!$O$53</f>
        <v>1</v>
      </c>
      <c r="AB251" s="11">
        <v>3</v>
      </c>
      <c r="AC251" s="3">
        <f t="shared" ref="AC251:AC254" si="489">AA251*AB251</f>
        <v>3</v>
      </c>
      <c r="AD251" s="3" t="s">
        <v>10</v>
      </c>
      <c r="AE251" s="3">
        <f>Results!$O$58</f>
        <v>11</v>
      </c>
      <c r="AF251" s="11">
        <v>3</v>
      </c>
      <c r="AG251" s="3">
        <f t="shared" ref="AG251:AG254" si="490">AE251*AF251</f>
        <v>33</v>
      </c>
      <c r="AI251" s="3" t="s">
        <v>8</v>
      </c>
      <c r="AJ251" s="3">
        <f>Results!$O$43</f>
        <v>10</v>
      </c>
      <c r="AK251" s="11">
        <v>3</v>
      </c>
      <c r="AL251" s="3">
        <f t="shared" ref="AL251:AL254" si="491">AJ251*AK251</f>
        <v>30</v>
      </c>
      <c r="AM251" s="3" t="s">
        <v>69</v>
      </c>
      <c r="AN251" s="3">
        <f>Results!$O$48</f>
        <v>11</v>
      </c>
      <c r="AO251" s="11">
        <v>3</v>
      </c>
      <c r="AP251" s="3">
        <f t="shared" ref="AP251:AP254" si="492">AN251*AO251</f>
        <v>33</v>
      </c>
      <c r="AQ251" s="3" t="s">
        <v>19</v>
      </c>
      <c r="AR251" s="3">
        <f>Results!$O$53</f>
        <v>1</v>
      </c>
      <c r="AS251" s="11">
        <v>3</v>
      </c>
      <c r="AT251" s="3">
        <f t="shared" ref="AT251:AT254" si="493">AR251*AS251</f>
        <v>3</v>
      </c>
      <c r="AU251" s="3" t="s">
        <v>10</v>
      </c>
      <c r="AV251" s="3">
        <f>Results!$O$58</f>
        <v>11</v>
      </c>
      <c r="AW251" s="11">
        <v>3</v>
      </c>
      <c r="AX251" s="3">
        <f t="shared" ref="AX251:AX254" si="494">AV251*AW251</f>
        <v>33</v>
      </c>
    </row>
    <row r="252" spans="1:50" ht="13.5" customHeight="1" x14ac:dyDescent="0.2">
      <c r="A252" s="3" t="s">
        <v>66</v>
      </c>
      <c r="B252" s="3">
        <f>Results!$O$44</f>
        <v>-1</v>
      </c>
      <c r="C252" s="11">
        <v>1</v>
      </c>
      <c r="D252" s="3">
        <f t="shared" si="483"/>
        <v>-1</v>
      </c>
      <c r="E252" s="3" t="s">
        <v>116</v>
      </c>
      <c r="F252" s="3">
        <f>Results!$O$49</f>
        <v>-3</v>
      </c>
      <c r="G252" s="11">
        <v>1</v>
      </c>
      <c r="H252" s="3">
        <f t="shared" si="484"/>
        <v>-3</v>
      </c>
      <c r="I252" s="3" t="s">
        <v>119</v>
      </c>
      <c r="J252" s="3">
        <f>Results!$O$54</f>
        <v>3</v>
      </c>
      <c r="K252" s="11">
        <v>1</v>
      </c>
      <c r="L252" s="3">
        <f t="shared" si="485"/>
        <v>3</v>
      </c>
      <c r="M252" s="3" t="s">
        <v>16</v>
      </c>
      <c r="N252" s="3">
        <f>Results!$O$59</f>
        <v>0</v>
      </c>
      <c r="O252" s="11">
        <v>2</v>
      </c>
      <c r="P252" s="3">
        <f t="shared" si="486"/>
        <v>0</v>
      </c>
      <c r="R252" s="3" t="s">
        <v>66</v>
      </c>
      <c r="S252" s="3">
        <f>Results!$O$44</f>
        <v>-1</v>
      </c>
      <c r="T252" s="11">
        <v>2</v>
      </c>
      <c r="U252" s="3">
        <f t="shared" si="487"/>
        <v>-2</v>
      </c>
      <c r="V252" s="3" t="s">
        <v>116</v>
      </c>
      <c r="W252" s="3">
        <f>Results!$O$49</f>
        <v>-3</v>
      </c>
      <c r="X252" s="11"/>
      <c r="Y252" s="3">
        <f t="shared" si="488"/>
        <v>0</v>
      </c>
      <c r="Z252" s="3" t="s">
        <v>119</v>
      </c>
      <c r="AA252" s="3">
        <f>Results!$O$54</f>
        <v>3</v>
      </c>
      <c r="AB252" s="11"/>
      <c r="AC252" s="3">
        <f t="shared" si="489"/>
        <v>0</v>
      </c>
      <c r="AD252" s="3" t="s">
        <v>16</v>
      </c>
      <c r="AE252" s="3">
        <f>Results!$O$59</f>
        <v>0</v>
      </c>
      <c r="AF252" s="11">
        <v>2</v>
      </c>
      <c r="AG252" s="3">
        <f t="shared" si="490"/>
        <v>0</v>
      </c>
      <c r="AI252" s="3" t="s">
        <v>66</v>
      </c>
      <c r="AJ252" s="3">
        <f>Results!$O$44</f>
        <v>-1</v>
      </c>
      <c r="AK252" s="11">
        <v>2</v>
      </c>
      <c r="AL252" s="3">
        <f t="shared" si="491"/>
        <v>-2</v>
      </c>
      <c r="AM252" s="3" t="s">
        <v>116</v>
      </c>
      <c r="AN252" s="3">
        <f>Results!$O$49</f>
        <v>-3</v>
      </c>
      <c r="AO252" s="11"/>
      <c r="AP252" s="3">
        <f t="shared" si="492"/>
        <v>0</v>
      </c>
      <c r="AQ252" s="3" t="s">
        <v>119</v>
      </c>
      <c r="AR252" s="3">
        <f>Results!$O$54</f>
        <v>3</v>
      </c>
      <c r="AS252" s="11"/>
      <c r="AT252" s="3">
        <f t="shared" si="493"/>
        <v>0</v>
      </c>
      <c r="AU252" s="3" t="s">
        <v>16</v>
      </c>
      <c r="AV252" s="3">
        <f>Results!$O$59</f>
        <v>0</v>
      </c>
      <c r="AW252" s="11">
        <v>2</v>
      </c>
      <c r="AX252" s="3">
        <f t="shared" si="494"/>
        <v>0</v>
      </c>
    </row>
    <row r="253" spans="1:50" ht="13.5" customHeight="1" x14ac:dyDescent="0.2">
      <c r="A253" s="3" t="s">
        <v>114</v>
      </c>
      <c r="B253" s="3">
        <f>Results!$O$45</f>
        <v>-3</v>
      </c>
      <c r="C253" s="11"/>
      <c r="D253" s="3">
        <f t="shared" si="483"/>
        <v>0</v>
      </c>
      <c r="E253" s="3" t="s">
        <v>117</v>
      </c>
      <c r="F253" s="3">
        <f>Results!$O$50</f>
        <v>9</v>
      </c>
      <c r="G253" s="11">
        <v>2</v>
      </c>
      <c r="H253" s="3">
        <f t="shared" si="484"/>
        <v>18</v>
      </c>
      <c r="I253" s="3" t="s">
        <v>120</v>
      </c>
      <c r="J253" s="3">
        <f>Results!$O$55</f>
        <v>-2</v>
      </c>
      <c r="K253" s="11"/>
      <c r="L253" s="3">
        <f t="shared" si="485"/>
        <v>0</v>
      </c>
      <c r="M253" s="3" t="s">
        <v>83</v>
      </c>
      <c r="N253" s="3">
        <f>Results!$O$60</f>
        <v>6</v>
      </c>
      <c r="O253" s="11">
        <v>1</v>
      </c>
      <c r="P253" s="3">
        <f t="shared" si="486"/>
        <v>6</v>
      </c>
      <c r="R253" s="3" t="s">
        <v>114</v>
      </c>
      <c r="S253" s="3">
        <f>Results!$O$45</f>
        <v>-3</v>
      </c>
      <c r="T253" s="11">
        <v>1</v>
      </c>
      <c r="U253" s="3">
        <f t="shared" si="487"/>
        <v>-3</v>
      </c>
      <c r="V253" s="3" t="s">
        <v>117</v>
      </c>
      <c r="W253" s="3">
        <f>Results!$O$50</f>
        <v>9</v>
      </c>
      <c r="X253" s="11">
        <v>2</v>
      </c>
      <c r="Y253" s="3">
        <f t="shared" si="488"/>
        <v>18</v>
      </c>
      <c r="Z253" s="3" t="s">
        <v>120</v>
      </c>
      <c r="AA253" s="3">
        <f>Results!$O$55</f>
        <v>-2</v>
      </c>
      <c r="AB253" s="11">
        <v>1</v>
      </c>
      <c r="AC253" s="3">
        <f t="shared" si="489"/>
        <v>-2</v>
      </c>
      <c r="AD253" s="3" t="s">
        <v>83</v>
      </c>
      <c r="AE253" s="3">
        <f>Results!$O$60</f>
        <v>6</v>
      </c>
      <c r="AF253" s="11"/>
      <c r="AG253" s="3">
        <f t="shared" si="490"/>
        <v>0</v>
      </c>
      <c r="AI253" s="3" t="s">
        <v>114</v>
      </c>
      <c r="AJ253" s="3">
        <f>Results!$O$45</f>
        <v>-3</v>
      </c>
      <c r="AK253" s="11"/>
      <c r="AL253" s="3">
        <f t="shared" si="491"/>
        <v>0</v>
      </c>
      <c r="AM253" s="3" t="s">
        <v>117</v>
      </c>
      <c r="AN253" s="3">
        <f>Results!$O$50</f>
        <v>9</v>
      </c>
      <c r="AO253" s="11">
        <v>2</v>
      </c>
      <c r="AP253" s="3">
        <f t="shared" si="492"/>
        <v>18</v>
      </c>
      <c r="AQ253" s="3" t="s">
        <v>120</v>
      </c>
      <c r="AR253" s="3">
        <f>Results!$O$55</f>
        <v>-2</v>
      </c>
      <c r="AS253" s="11">
        <v>1</v>
      </c>
      <c r="AT253" s="3">
        <f t="shared" si="493"/>
        <v>-2</v>
      </c>
      <c r="AU253" s="3" t="s">
        <v>83</v>
      </c>
      <c r="AV253" s="3">
        <f>Results!$O$60</f>
        <v>6</v>
      </c>
      <c r="AW253" s="11">
        <v>1</v>
      </c>
      <c r="AX253" s="3">
        <f t="shared" si="494"/>
        <v>6</v>
      </c>
    </row>
    <row r="254" spans="1:50" ht="13.5" customHeight="1" thickBot="1" x14ac:dyDescent="0.25">
      <c r="A254" s="19" t="s">
        <v>115</v>
      </c>
      <c r="B254" s="19">
        <f>Results!$O$46</f>
        <v>12</v>
      </c>
      <c r="C254" s="20">
        <v>2</v>
      </c>
      <c r="D254" s="19">
        <f t="shared" si="483"/>
        <v>24</v>
      </c>
      <c r="E254" s="19" t="s">
        <v>118</v>
      </c>
      <c r="F254" s="19">
        <f>Results!$O$51</f>
        <v>-1</v>
      </c>
      <c r="G254" s="20"/>
      <c r="H254" s="19">
        <f t="shared" si="484"/>
        <v>0</v>
      </c>
      <c r="I254" s="19" t="s">
        <v>121</v>
      </c>
      <c r="J254" s="19">
        <f>Results!$O$56</f>
        <v>9</v>
      </c>
      <c r="K254" s="20">
        <v>2</v>
      </c>
      <c r="L254" s="19">
        <f t="shared" si="485"/>
        <v>18</v>
      </c>
      <c r="M254" s="19" t="s">
        <v>122</v>
      </c>
      <c r="N254" s="19">
        <f>Results!$O$61</f>
        <v>-3</v>
      </c>
      <c r="O254" s="20"/>
      <c r="P254" s="19">
        <f t="shared" si="486"/>
        <v>0</v>
      </c>
      <c r="R254" s="19" t="s">
        <v>115</v>
      </c>
      <c r="S254" s="19">
        <f>Results!$O$46</f>
        <v>12</v>
      </c>
      <c r="T254" s="20">
        <v>3</v>
      </c>
      <c r="U254" s="19">
        <f t="shared" si="487"/>
        <v>36</v>
      </c>
      <c r="V254" s="19" t="s">
        <v>118</v>
      </c>
      <c r="W254" s="19">
        <f>Results!$O$51</f>
        <v>-1</v>
      </c>
      <c r="X254" s="20">
        <v>1</v>
      </c>
      <c r="Y254" s="19">
        <f t="shared" si="488"/>
        <v>-1</v>
      </c>
      <c r="Z254" s="19" t="s">
        <v>121</v>
      </c>
      <c r="AA254" s="19">
        <f>Results!$O$56</f>
        <v>9</v>
      </c>
      <c r="AB254" s="20">
        <v>2</v>
      </c>
      <c r="AC254" s="19">
        <f t="shared" si="489"/>
        <v>18</v>
      </c>
      <c r="AD254" s="19" t="s">
        <v>122</v>
      </c>
      <c r="AE254" s="19">
        <f>Results!$O$61</f>
        <v>-3</v>
      </c>
      <c r="AF254" s="20">
        <v>1</v>
      </c>
      <c r="AG254" s="19">
        <f t="shared" si="490"/>
        <v>-3</v>
      </c>
      <c r="AI254" s="19" t="s">
        <v>115</v>
      </c>
      <c r="AJ254" s="19">
        <f>Results!$O$46</f>
        <v>12</v>
      </c>
      <c r="AK254" s="20">
        <v>1</v>
      </c>
      <c r="AL254" s="19">
        <f t="shared" si="491"/>
        <v>12</v>
      </c>
      <c r="AM254" s="19" t="s">
        <v>118</v>
      </c>
      <c r="AN254" s="19">
        <f>Results!$O$51</f>
        <v>-1</v>
      </c>
      <c r="AO254" s="20">
        <v>1</v>
      </c>
      <c r="AP254" s="19">
        <f t="shared" si="492"/>
        <v>-1</v>
      </c>
      <c r="AQ254" s="19" t="s">
        <v>121</v>
      </c>
      <c r="AR254" s="19">
        <f>Results!$O$56</f>
        <v>9</v>
      </c>
      <c r="AS254" s="20">
        <v>2</v>
      </c>
      <c r="AT254" s="19">
        <f t="shared" si="493"/>
        <v>18</v>
      </c>
      <c r="AU254" s="19" t="s">
        <v>122</v>
      </c>
      <c r="AV254" s="19">
        <f>Results!$O$61</f>
        <v>-3</v>
      </c>
      <c r="AW254" s="20"/>
      <c r="AX254" s="19">
        <f t="shared" si="494"/>
        <v>0</v>
      </c>
    </row>
    <row r="255" spans="1:50" s="27" customFormat="1" ht="13.5" customHeight="1" thickBot="1" x14ac:dyDescent="0.25">
      <c r="A255" s="35"/>
      <c r="B255" s="36"/>
      <c r="C255" s="37"/>
      <c r="D255" s="36"/>
      <c r="E255" s="36"/>
      <c r="F255" s="36"/>
      <c r="G255" s="37"/>
      <c r="H255" s="36"/>
      <c r="I255" s="36"/>
      <c r="J255" s="36"/>
      <c r="K255" s="37"/>
      <c r="L255" s="36"/>
      <c r="M255" s="36"/>
      <c r="N255" s="36"/>
      <c r="O255" s="37"/>
      <c r="P255" s="36"/>
      <c r="R255" s="35"/>
      <c r="S255" s="36"/>
      <c r="T255" s="37"/>
      <c r="U255" s="36"/>
      <c r="V255" s="36"/>
      <c r="W255" s="36"/>
      <c r="X255" s="37"/>
      <c r="Y255" s="36"/>
      <c r="Z255" s="36"/>
      <c r="AA255" s="36"/>
      <c r="AB255" s="37"/>
      <c r="AC255" s="36"/>
      <c r="AD255" s="36"/>
      <c r="AE255" s="36"/>
      <c r="AF255" s="37"/>
      <c r="AG255" s="36"/>
      <c r="AI255" s="35"/>
      <c r="AJ255" s="36"/>
      <c r="AK255" s="37"/>
      <c r="AL255" s="36"/>
      <c r="AM255" s="36"/>
      <c r="AN255" s="36"/>
      <c r="AO255" s="37"/>
      <c r="AP255" s="36"/>
      <c r="AQ255" s="36"/>
      <c r="AR255" s="36"/>
      <c r="AS255" s="37"/>
      <c r="AT255" s="36"/>
      <c r="AU255" s="36"/>
      <c r="AV255" s="36"/>
      <c r="AW255" s="37"/>
      <c r="AX255" s="36"/>
    </row>
    <row r="256" spans="1:50" ht="13.5" customHeight="1" x14ac:dyDescent="0.2">
      <c r="A256" s="12" t="s">
        <v>0</v>
      </c>
      <c r="B256" s="59" t="s">
        <v>157</v>
      </c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13" t="s">
        <v>50</v>
      </c>
      <c r="N256" s="61">
        <f>SUM(D258:D261,D263:D266,H258:H261, H263:H266,L258:L261,L263:L266,P258:P261,P263:P266,D268:D271,H268:H271,L268:L271,P268:P271)</f>
        <v>366</v>
      </c>
      <c r="O256" s="61"/>
      <c r="P256" s="66"/>
      <c r="R256" s="12" t="s">
        <v>0</v>
      </c>
      <c r="S256" s="59" t="s">
        <v>160</v>
      </c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13" t="s">
        <v>50</v>
      </c>
      <c r="AE256" s="61">
        <f>SUM(U258:U261,U263:U266,Y258:Y261, Y263:Y266,AC258:AC261,AC263:AC266,AG258:AG261,AG263:AG266,U268:U271,Y268:Y271,AC268:AC271,AG268:AG271)</f>
        <v>352</v>
      </c>
      <c r="AF256" s="61"/>
      <c r="AG256" s="66"/>
      <c r="AI256" s="12" t="s">
        <v>0</v>
      </c>
      <c r="AJ256" s="59" t="s">
        <v>164</v>
      </c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13" t="s">
        <v>50</v>
      </c>
      <c r="AV256" s="61">
        <f>SUM(AL258:AL261,AL263:AL266,AP258:AP261, AP263:AP266,AT258:AT261,AT263:AT266,AX258:AX261,AX263:AX266,AL268:AL271,AP268:AP271,AT268:AT271,AX268:AX271)</f>
        <v>353</v>
      </c>
      <c r="AW256" s="61"/>
      <c r="AX256" s="66"/>
    </row>
    <row r="257" spans="1:50" ht="13.5" customHeight="1" x14ac:dyDescent="0.2">
      <c r="A257" s="14" t="s">
        <v>3</v>
      </c>
      <c r="B257" s="15" t="s">
        <v>51</v>
      </c>
      <c r="C257" s="16" t="s">
        <v>21</v>
      </c>
      <c r="D257" s="15" t="s">
        <v>49</v>
      </c>
      <c r="E257" s="15" t="s">
        <v>6</v>
      </c>
      <c r="F257" s="15" t="s">
        <v>51</v>
      </c>
      <c r="G257" s="16" t="s">
        <v>21</v>
      </c>
      <c r="H257" s="15" t="s">
        <v>49</v>
      </c>
      <c r="I257" s="15" t="s">
        <v>7</v>
      </c>
      <c r="J257" s="15" t="s">
        <v>51</v>
      </c>
      <c r="K257" s="16" t="s">
        <v>21</v>
      </c>
      <c r="L257" s="15" t="s">
        <v>49</v>
      </c>
      <c r="M257" s="15" t="s">
        <v>13</v>
      </c>
      <c r="N257" s="15" t="s">
        <v>51</v>
      </c>
      <c r="O257" s="16" t="s">
        <v>21</v>
      </c>
      <c r="P257" s="17" t="s">
        <v>49</v>
      </c>
      <c r="R257" s="14" t="s">
        <v>3</v>
      </c>
      <c r="S257" s="15" t="s">
        <v>51</v>
      </c>
      <c r="T257" s="16" t="s">
        <v>21</v>
      </c>
      <c r="U257" s="15" t="s">
        <v>49</v>
      </c>
      <c r="V257" s="15" t="s">
        <v>6</v>
      </c>
      <c r="W257" s="15" t="s">
        <v>51</v>
      </c>
      <c r="X257" s="16" t="s">
        <v>21</v>
      </c>
      <c r="Y257" s="15" t="s">
        <v>49</v>
      </c>
      <c r="Z257" s="15" t="s">
        <v>7</v>
      </c>
      <c r="AA257" s="15" t="s">
        <v>51</v>
      </c>
      <c r="AB257" s="16" t="s">
        <v>21</v>
      </c>
      <c r="AC257" s="15" t="s">
        <v>49</v>
      </c>
      <c r="AD257" s="15" t="s">
        <v>13</v>
      </c>
      <c r="AE257" s="15" t="s">
        <v>51</v>
      </c>
      <c r="AF257" s="16" t="s">
        <v>21</v>
      </c>
      <c r="AG257" s="17" t="s">
        <v>49</v>
      </c>
      <c r="AI257" s="14" t="s">
        <v>3</v>
      </c>
      <c r="AJ257" s="15" t="s">
        <v>51</v>
      </c>
      <c r="AK257" s="16" t="s">
        <v>21</v>
      </c>
      <c r="AL257" s="15" t="s">
        <v>49</v>
      </c>
      <c r="AM257" s="15" t="s">
        <v>6</v>
      </c>
      <c r="AN257" s="15" t="s">
        <v>51</v>
      </c>
      <c r="AO257" s="16" t="s">
        <v>21</v>
      </c>
      <c r="AP257" s="15" t="s">
        <v>49</v>
      </c>
      <c r="AQ257" s="15" t="s">
        <v>7</v>
      </c>
      <c r="AR257" s="15" t="s">
        <v>51</v>
      </c>
      <c r="AS257" s="16" t="s">
        <v>21</v>
      </c>
      <c r="AT257" s="15" t="s">
        <v>49</v>
      </c>
      <c r="AU257" s="15" t="s">
        <v>13</v>
      </c>
      <c r="AV257" s="15" t="s">
        <v>51</v>
      </c>
      <c r="AW257" s="16" t="s">
        <v>21</v>
      </c>
      <c r="AX257" s="17" t="s">
        <v>49</v>
      </c>
    </row>
    <row r="258" spans="1:50" ht="13.5" customHeight="1" x14ac:dyDescent="0.2">
      <c r="A258" s="3" t="s">
        <v>71</v>
      </c>
      <c r="B258" s="3">
        <f>Results!$O$3</f>
        <v>3</v>
      </c>
      <c r="C258" s="11">
        <v>3</v>
      </c>
      <c r="D258" s="3">
        <f t="shared" ref="D258:D261" si="495">B258*C258</f>
        <v>9</v>
      </c>
      <c r="E258" s="3" t="s">
        <v>76</v>
      </c>
      <c r="F258" s="3">
        <f>Results!$O$8</f>
        <v>2</v>
      </c>
      <c r="G258" s="11">
        <v>2</v>
      </c>
      <c r="H258" s="3">
        <f t="shared" ref="H258:H261" si="496">F258*G258</f>
        <v>4</v>
      </c>
      <c r="I258" s="3" t="s">
        <v>80</v>
      </c>
      <c r="J258" s="3">
        <f>Results!$O$13</f>
        <v>2</v>
      </c>
      <c r="K258" s="11">
        <v>5</v>
      </c>
      <c r="L258" s="3">
        <f t="shared" ref="L258:L261" si="497">J258*K258</f>
        <v>10</v>
      </c>
      <c r="M258" s="3" t="s">
        <v>68</v>
      </c>
      <c r="N258" s="3">
        <f>Results!$O$18</f>
        <v>11</v>
      </c>
      <c r="O258" s="11">
        <v>1</v>
      </c>
      <c r="P258" s="18">
        <f>N258*O258</f>
        <v>11</v>
      </c>
      <c r="R258" s="3" t="s">
        <v>71</v>
      </c>
      <c r="S258" s="3">
        <f>Results!$O$3</f>
        <v>3</v>
      </c>
      <c r="T258" s="11">
        <v>3</v>
      </c>
      <c r="U258" s="3">
        <f t="shared" ref="U258:U261" si="498">S258*T258</f>
        <v>9</v>
      </c>
      <c r="V258" s="3" t="s">
        <v>76</v>
      </c>
      <c r="W258" s="3">
        <f>Results!$O$8</f>
        <v>2</v>
      </c>
      <c r="X258" s="11">
        <v>2</v>
      </c>
      <c r="Y258" s="3">
        <f t="shared" ref="Y258:Y261" si="499">W258*X258</f>
        <v>4</v>
      </c>
      <c r="Z258" s="3" t="s">
        <v>80</v>
      </c>
      <c r="AA258" s="3">
        <f>Results!$O$13</f>
        <v>2</v>
      </c>
      <c r="AB258" s="11">
        <v>3</v>
      </c>
      <c r="AC258" s="3">
        <f t="shared" ref="AC258:AC261" si="500">AA258*AB258</f>
        <v>6</v>
      </c>
      <c r="AD258" s="3" t="s">
        <v>68</v>
      </c>
      <c r="AE258" s="3">
        <f>Results!$O$18</f>
        <v>11</v>
      </c>
      <c r="AF258" s="11">
        <v>2</v>
      </c>
      <c r="AG258" s="18">
        <f>AE258*AF258</f>
        <v>22</v>
      </c>
      <c r="AI258" s="3" t="s">
        <v>71</v>
      </c>
      <c r="AJ258" s="3">
        <f>Results!$O$3</f>
        <v>3</v>
      </c>
      <c r="AK258" s="11">
        <v>3</v>
      </c>
      <c r="AL258" s="3">
        <f t="shared" ref="AL258:AL261" si="501">AJ258*AK258</f>
        <v>9</v>
      </c>
      <c r="AM258" s="3" t="s">
        <v>76</v>
      </c>
      <c r="AN258" s="3">
        <f>Results!$O$8</f>
        <v>2</v>
      </c>
      <c r="AO258" s="11">
        <v>2</v>
      </c>
      <c r="AP258" s="3">
        <f t="shared" ref="AP258:AP261" si="502">AN258*AO258</f>
        <v>4</v>
      </c>
      <c r="AQ258" s="3" t="s">
        <v>80</v>
      </c>
      <c r="AR258" s="3">
        <f>Results!$O$13</f>
        <v>2</v>
      </c>
      <c r="AS258" s="11">
        <v>5</v>
      </c>
      <c r="AT258" s="3">
        <f t="shared" ref="AT258:AT261" si="503">AR258*AS258</f>
        <v>10</v>
      </c>
      <c r="AU258" s="3" t="s">
        <v>68</v>
      </c>
      <c r="AV258" s="3">
        <f>Results!$O$18</f>
        <v>11</v>
      </c>
      <c r="AW258" s="11">
        <v>3</v>
      </c>
      <c r="AX258" s="18">
        <f>AV258*AW258</f>
        <v>33</v>
      </c>
    </row>
    <row r="259" spans="1:50" ht="13.5" customHeight="1" x14ac:dyDescent="0.2">
      <c r="A259" s="3" t="s">
        <v>123</v>
      </c>
      <c r="B259" s="3">
        <f>Results!$O$4</f>
        <v>-14</v>
      </c>
      <c r="C259" s="11"/>
      <c r="D259" s="3">
        <f t="shared" si="495"/>
        <v>0</v>
      </c>
      <c r="E259" s="3" t="s">
        <v>103</v>
      </c>
      <c r="F259" s="3">
        <f>Results!$O$9</f>
        <v>1</v>
      </c>
      <c r="G259" s="11">
        <v>1</v>
      </c>
      <c r="H259" s="3">
        <f t="shared" si="496"/>
        <v>1</v>
      </c>
      <c r="I259" s="3" t="s">
        <v>77</v>
      </c>
      <c r="J259" s="3">
        <f>Results!$O$14</f>
        <v>4</v>
      </c>
      <c r="K259" s="11">
        <v>3</v>
      </c>
      <c r="L259" s="3">
        <f t="shared" si="497"/>
        <v>12</v>
      </c>
      <c r="M259" s="3" t="s">
        <v>106</v>
      </c>
      <c r="N259" s="3">
        <f>Results!$O$19</f>
        <v>-7</v>
      </c>
      <c r="O259" s="11"/>
      <c r="P259" s="18">
        <f>N259*O259</f>
        <v>0</v>
      </c>
      <c r="R259" s="3" t="s">
        <v>123</v>
      </c>
      <c r="S259" s="3">
        <f>Results!$O$4</f>
        <v>-14</v>
      </c>
      <c r="T259" s="11"/>
      <c r="U259" s="3">
        <f t="shared" si="498"/>
        <v>0</v>
      </c>
      <c r="V259" s="3" t="s">
        <v>103</v>
      </c>
      <c r="W259" s="3">
        <f>Results!$O$9</f>
        <v>1</v>
      </c>
      <c r="X259" s="11"/>
      <c r="Y259" s="3">
        <f t="shared" si="499"/>
        <v>0</v>
      </c>
      <c r="Z259" s="3" t="s">
        <v>77</v>
      </c>
      <c r="AA259" s="3">
        <f>Results!$O$14</f>
        <v>4</v>
      </c>
      <c r="AB259" s="11">
        <v>2</v>
      </c>
      <c r="AC259" s="3">
        <f t="shared" si="500"/>
        <v>8</v>
      </c>
      <c r="AD259" s="3" t="s">
        <v>106</v>
      </c>
      <c r="AE259" s="3">
        <f>Results!$O$19</f>
        <v>-7</v>
      </c>
      <c r="AF259" s="11"/>
      <c r="AG259" s="18">
        <f>AE259*AF259</f>
        <v>0</v>
      </c>
      <c r="AI259" s="3" t="s">
        <v>123</v>
      </c>
      <c r="AJ259" s="3">
        <f>Results!$O$4</f>
        <v>-14</v>
      </c>
      <c r="AK259" s="11">
        <v>1</v>
      </c>
      <c r="AL259" s="3">
        <f t="shared" si="501"/>
        <v>-14</v>
      </c>
      <c r="AM259" s="3" t="s">
        <v>103</v>
      </c>
      <c r="AN259" s="3">
        <f>Results!$O$9</f>
        <v>1</v>
      </c>
      <c r="AO259" s="11">
        <v>1</v>
      </c>
      <c r="AP259" s="3">
        <f t="shared" si="502"/>
        <v>1</v>
      </c>
      <c r="AQ259" s="3" t="s">
        <v>77</v>
      </c>
      <c r="AR259" s="3">
        <f>Results!$O$14</f>
        <v>4</v>
      </c>
      <c r="AS259" s="11">
        <v>3</v>
      </c>
      <c r="AT259" s="3">
        <f t="shared" si="503"/>
        <v>12</v>
      </c>
      <c r="AU259" s="3" t="s">
        <v>106</v>
      </c>
      <c r="AV259" s="3">
        <f>Results!$O$19</f>
        <v>-7</v>
      </c>
      <c r="AW259" s="11"/>
      <c r="AX259" s="18">
        <f>AV259*AW259</f>
        <v>0</v>
      </c>
    </row>
    <row r="260" spans="1:50" ht="13.5" customHeight="1" x14ac:dyDescent="0.2">
      <c r="A260" s="3" t="s">
        <v>124</v>
      </c>
      <c r="B260" s="3">
        <f>Results!$O$5</f>
        <v>7</v>
      </c>
      <c r="C260" s="11">
        <v>2</v>
      </c>
      <c r="D260" s="3">
        <f t="shared" si="495"/>
        <v>14</v>
      </c>
      <c r="E260" s="3" t="s">
        <v>65</v>
      </c>
      <c r="F260" s="3">
        <f>Results!$O$10</f>
        <v>2</v>
      </c>
      <c r="G260" s="11"/>
      <c r="H260" s="3">
        <f t="shared" si="496"/>
        <v>0</v>
      </c>
      <c r="I260" s="3" t="s">
        <v>104</v>
      </c>
      <c r="J260" s="3">
        <f>Results!$O$15</f>
        <v>-2</v>
      </c>
      <c r="K260" s="11">
        <v>1</v>
      </c>
      <c r="L260" s="3">
        <f t="shared" si="497"/>
        <v>-2</v>
      </c>
      <c r="M260" s="3" t="s">
        <v>72</v>
      </c>
      <c r="N260" s="3">
        <f>Results!$O$20</f>
        <v>9</v>
      </c>
      <c r="O260" s="11">
        <v>3</v>
      </c>
      <c r="P260" s="18">
        <f>N260*O260</f>
        <v>27</v>
      </c>
      <c r="R260" s="3" t="s">
        <v>124</v>
      </c>
      <c r="S260" s="3">
        <f>Results!$O$5</f>
        <v>7</v>
      </c>
      <c r="T260" s="11">
        <v>2</v>
      </c>
      <c r="U260" s="3">
        <f t="shared" si="498"/>
        <v>14</v>
      </c>
      <c r="V260" s="3" t="s">
        <v>65</v>
      </c>
      <c r="W260" s="3">
        <f>Results!$O$10</f>
        <v>2</v>
      </c>
      <c r="X260" s="11">
        <v>1</v>
      </c>
      <c r="Y260" s="3">
        <f t="shared" si="499"/>
        <v>2</v>
      </c>
      <c r="Z260" s="3" t="s">
        <v>104</v>
      </c>
      <c r="AA260" s="3">
        <f>Results!$O$15</f>
        <v>-2</v>
      </c>
      <c r="AB260" s="11"/>
      <c r="AC260" s="3">
        <f t="shared" si="500"/>
        <v>0</v>
      </c>
      <c r="AD260" s="3" t="s">
        <v>72</v>
      </c>
      <c r="AE260" s="3">
        <f>Results!$O$20</f>
        <v>9</v>
      </c>
      <c r="AF260" s="11">
        <v>1</v>
      </c>
      <c r="AG260" s="18">
        <f>AE260*AF260</f>
        <v>9</v>
      </c>
      <c r="AI260" s="3" t="s">
        <v>124</v>
      </c>
      <c r="AJ260" s="3">
        <f>Results!$O$5</f>
        <v>7</v>
      </c>
      <c r="AK260" s="11">
        <v>2</v>
      </c>
      <c r="AL260" s="3">
        <f t="shared" si="501"/>
        <v>14</v>
      </c>
      <c r="AM260" s="3" t="s">
        <v>65</v>
      </c>
      <c r="AN260" s="3">
        <f>Results!$O$10</f>
        <v>2</v>
      </c>
      <c r="AO260" s="11"/>
      <c r="AP260" s="3">
        <f t="shared" si="502"/>
        <v>0</v>
      </c>
      <c r="AQ260" s="3" t="s">
        <v>104</v>
      </c>
      <c r="AR260" s="3">
        <f>Results!$O$15</f>
        <v>-2</v>
      </c>
      <c r="AS260" s="11">
        <v>1</v>
      </c>
      <c r="AT260" s="3">
        <f t="shared" si="503"/>
        <v>-2</v>
      </c>
      <c r="AU260" s="3" t="s">
        <v>72</v>
      </c>
      <c r="AV260" s="3">
        <f>Results!$O$20</f>
        <v>9</v>
      </c>
      <c r="AW260" s="11">
        <v>1</v>
      </c>
      <c r="AX260" s="18">
        <f>AV260*AW260</f>
        <v>9</v>
      </c>
    </row>
    <row r="261" spans="1:50" ht="13.5" customHeight="1" x14ac:dyDescent="0.2">
      <c r="A261" s="3" t="s">
        <v>102</v>
      </c>
      <c r="B261" s="3">
        <f>Results!$O$6</f>
        <v>0</v>
      </c>
      <c r="C261" s="11">
        <v>1</v>
      </c>
      <c r="D261" s="3">
        <f t="shared" si="495"/>
        <v>0</v>
      </c>
      <c r="E261" s="3" t="s">
        <v>12</v>
      </c>
      <c r="F261" s="3">
        <f>Results!$O$11</f>
        <v>3</v>
      </c>
      <c r="G261" s="11">
        <v>3</v>
      </c>
      <c r="H261" s="3">
        <f t="shared" si="496"/>
        <v>9</v>
      </c>
      <c r="I261" s="3" t="s">
        <v>105</v>
      </c>
      <c r="J261" s="3">
        <f>Results!$O$16</f>
        <v>4</v>
      </c>
      <c r="K261" s="11">
        <v>2</v>
      </c>
      <c r="L261" s="3">
        <f t="shared" si="497"/>
        <v>8</v>
      </c>
      <c r="M261" s="3" t="s">
        <v>107</v>
      </c>
      <c r="N261" s="3">
        <f>Results!$O$21</f>
        <v>-3</v>
      </c>
      <c r="O261" s="11">
        <v>2</v>
      </c>
      <c r="P261" s="18">
        <f>N261*O261</f>
        <v>-6</v>
      </c>
      <c r="R261" s="3" t="s">
        <v>102</v>
      </c>
      <c r="S261" s="3">
        <f>Results!$O$6</f>
        <v>0</v>
      </c>
      <c r="T261" s="11">
        <v>1</v>
      </c>
      <c r="U261" s="3">
        <f t="shared" si="498"/>
        <v>0</v>
      </c>
      <c r="V261" s="3" t="s">
        <v>12</v>
      </c>
      <c r="W261" s="3">
        <f>Results!$O$11</f>
        <v>3</v>
      </c>
      <c r="X261" s="11">
        <v>3</v>
      </c>
      <c r="Y261" s="3">
        <f t="shared" si="499"/>
        <v>9</v>
      </c>
      <c r="Z261" s="3" t="s">
        <v>105</v>
      </c>
      <c r="AA261" s="3">
        <f>Results!$O$16</f>
        <v>4</v>
      </c>
      <c r="AB261" s="11">
        <v>1</v>
      </c>
      <c r="AC261" s="3">
        <f t="shared" si="500"/>
        <v>4</v>
      </c>
      <c r="AD261" s="3" t="s">
        <v>107</v>
      </c>
      <c r="AE261" s="3">
        <f>Results!$O$21</f>
        <v>-3</v>
      </c>
      <c r="AF261" s="11">
        <v>3</v>
      </c>
      <c r="AG261" s="18">
        <f>AE261*AF261</f>
        <v>-9</v>
      </c>
      <c r="AI261" s="3" t="s">
        <v>102</v>
      </c>
      <c r="AJ261" s="3">
        <f>Results!$O$6</f>
        <v>0</v>
      </c>
      <c r="AK261" s="11"/>
      <c r="AL261" s="3">
        <f t="shared" si="501"/>
        <v>0</v>
      </c>
      <c r="AM261" s="3" t="s">
        <v>12</v>
      </c>
      <c r="AN261" s="3">
        <f>Results!$O$11</f>
        <v>3</v>
      </c>
      <c r="AO261" s="11">
        <v>3</v>
      </c>
      <c r="AP261" s="3">
        <f t="shared" si="502"/>
        <v>9</v>
      </c>
      <c r="AQ261" s="3" t="s">
        <v>105</v>
      </c>
      <c r="AR261" s="3">
        <f>Results!$O$16</f>
        <v>4</v>
      </c>
      <c r="AS261" s="11">
        <v>2</v>
      </c>
      <c r="AT261" s="3">
        <f t="shared" si="503"/>
        <v>8</v>
      </c>
      <c r="AU261" s="3" t="s">
        <v>107</v>
      </c>
      <c r="AV261" s="3">
        <f>Results!$O$21</f>
        <v>-3</v>
      </c>
      <c r="AW261" s="11">
        <v>2</v>
      </c>
      <c r="AX261" s="18">
        <f>AV261*AW261</f>
        <v>-6</v>
      </c>
    </row>
    <row r="262" spans="1:50" ht="13.5" customHeight="1" x14ac:dyDescent="0.2">
      <c r="A262" s="14" t="s">
        <v>14</v>
      </c>
      <c r="B262" s="15" t="s">
        <v>51</v>
      </c>
      <c r="C262" s="16" t="s">
        <v>21</v>
      </c>
      <c r="D262" s="15" t="s">
        <v>49</v>
      </c>
      <c r="E262" s="15" t="s">
        <v>15</v>
      </c>
      <c r="F262" s="15" t="s">
        <v>51</v>
      </c>
      <c r="G262" s="16" t="s">
        <v>21</v>
      </c>
      <c r="H262" s="15" t="s">
        <v>49</v>
      </c>
      <c r="I262" s="15" t="s">
        <v>78</v>
      </c>
      <c r="J262" s="15" t="s">
        <v>51</v>
      </c>
      <c r="K262" s="16" t="s">
        <v>21</v>
      </c>
      <c r="L262" s="15" t="s">
        <v>49</v>
      </c>
      <c r="M262" s="15" t="s">
        <v>79</v>
      </c>
      <c r="N262" s="15" t="s">
        <v>51</v>
      </c>
      <c r="O262" s="16" t="s">
        <v>21</v>
      </c>
      <c r="P262" s="15" t="s">
        <v>49</v>
      </c>
      <c r="R262" s="14" t="s">
        <v>14</v>
      </c>
      <c r="S262" s="15" t="s">
        <v>51</v>
      </c>
      <c r="T262" s="16" t="s">
        <v>21</v>
      </c>
      <c r="U262" s="15" t="s">
        <v>49</v>
      </c>
      <c r="V262" s="15" t="s">
        <v>15</v>
      </c>
      <c r="W262" s="15" t="s">
        <v>51</v>
      </c>
      <c r="X262" s="16" t="s">
        <v>21</v>
      </c>
      <c r="Y262" s="15" t="s">
        <v>49</v>
      </c>
      <c r="Z262" s="15" t="s">
        <v>78</v>
      </c>
      <c r="AA262" s="15" t="s">
        <v>51</v>
      </c>
      <c r="AB262" s="16" t="s">
        <v>21</v>
      </c>
      <c r="AC262" s="15" t="s">
        <v>49</v>
      </c>
      <c r="AD262" s="15" t="s">
        <v>79</v>
      </c>
      <c r="AE262" s="15" t="s">
        <v>51</v>
      </c>
      <c r="AF262" s="16" t="s">
        <v>21</v>
      </c>
      <c r="AG262" s="15" t="s">
        <v>49</v>
      </c>
      <c r="AI262" s="14" t="s">
        <v>14</v>
      </c>
      <c r="AJ262" s="15" t="s">
        <v>51</v>
      </c>
      <c r="AK262" s="16" t="s">
        <v>21</v>
      </c>
      <c r="AL262" s="15" t="s">
        <v>49</v>
      </c>
      <c r="AM262" s="15" t="s">
        <v>15</v>
      </c>
      <c r="AN262" s="15" t="s">
        <v>51</v>
      </c>
      <c r="AO262" s="16" t="s">
        <v>21</v>
      </c>
      <c r="AP262" s="15" t="s">
        <v>49</v>
      </c>
      <c r="AQ262" s="15" t="s">
        <v>78</v>
      </c>
      <c r="AR262" s="15" t="s">
        <v>51</v>
      </c>
      <c r="AS262" s="16" t="s">
        <v>21</v>
      </c>
      <c r="AT262" s="15" t="s">
        <v>49</v>
      </c>
      <c r="AU262" s="15" t="s">
        <v>79</v>
      </c>
      <c r="AV262" s="15" t="s">
        <v>51</v>
      </c>
      <c r="AW262" s="16" t="s">
        <v>21</v>
      </c>
      <c r="AX262" s="15" t="s">
        <v>49</v>
      </c>
    </row>
    <row r="263" spans="1:50" ht="13.5" customHeight="1" x14ac:dyDescent="0.2">
      <c r="A263" s="3" t="s">
        <v>11</v>
      </c>
      <c r="B263" s="3">
        <f>Results!$O$23</f>
        <v>18</v>
      </c>
      <c r="C263" s="11">
        <v>3</v>
      </c>
      <c r="D263" s="3">
        <f t="shared" ref="D263:D266" si="504">B263*C263</f>
        <v>54</v>
      </c>
      <c r="E263" s="3" t="s">
        <v>57</v>
      </c>
      <c r="F263" s="3">
        <f>Results!$O$28</f>
        <v>2</v>
      </c>
      <c r="G263" s="11">
        <v>3</v>
      </c>
      <c r="H263" s="3">
        <f t="shared" ref="H263:H266" si="505">F263*G263</f>
        <v>6</v>
      </c>
      <c r="I263" s="3" t="s">
        <v>18</v>
      </c>
      <c r="J263" s="3">
        <f>Results!$O$33</f>
        <v>2</v>
      </c>
      <c r="K263" s="11">
        <v>3</v>
      </c>
      <c r="L263" s="3">
        <f t="shared" ref="L263:L266" si="506">J263*K263</f>
        <v>6</v>
      </c>
      <c r="M263" s="3" t="s">
        <v>17</v>
      </c>
      <c r="N263" s="3">
        <f>Results!$O$38</f>
        <v>2</v>
      </c>
      <c r="O263" s="11">
        <v>3</v>
      </c>
      <c r="P263" s="3">
        <f t="shared" ref="P263:P266" si="507">N263*O263</f>
        <v>6</v>
      </c>
      <c r="R263" s="3" t="s">
        <v>11</v>
      </c>
      <c r="S263" s="3">
        <f>Results!$O$23</f>
        <v>18</v>
      </c>
      <c r="T263" s="11">
        <v>3</v>
      </c>
      <c r="U263" s="3">
        <f t="shared" ref="U263:U266" si="508">S263*T263</f>
        <v>54</v>
      </c>
      <c r="V263" s="3" t="s">
        <v>57</v>
      </c>
      <c r="W263" s="3">
        <f>Results!$O$28</f>
        <v>2</v>
      </c>
      <c r="X263" s="11">
        <v>3</v>
      </c>
      <c r="Y263" s="3">
        <f t="shared" ref="Y263:Y266" si="509">W263*X263</f>
        <v>6</v>
      </c>
      <c r="Z263" s="3" t="s">
        <v>18</v>
      </c>
      <c r="AA263" s="3">
        <f>Results!$O$33</f>
        <v>2</v>
      </c>
      <c r="AB263" s="11">
        <v>3</v>
      </c>
      <c r="AC263" s="3">
        <f t="shared" ref="AC263:AC266" si="510">AA263*AB263</f>
        <v>6</v>
      </c>
      <c r="AD263" s="3" t="s">
        <v>17</v>
      </c>
      <c r="AE263" s="3">
        <f>Results!$O$38</f>
        <v>2</v>
      </c>
      <c r="AF263" s="11">
        <v>3</v>
      </c>
      <c r="AG263" s="3">
        <f t="shared" ref="AG263:AG266" si="511">AE263*AF263</f>
        <v>6</v>
      </c>
      <c r="AI263" s="3" t="s">
        <v>11</v>
      </c>
      <c r="AJ263" s="3">
        <f>Results!$O$23</f>
        <v>18</v>
      </c>
      <c r="AK263" s="11">
        <v>3</v>
      </c>
      <c r="AL263" s="3">
        <f t="shared" ref="AL263:AL266" si="512">AJ263*AK263</f>
        <v>54</v>
      </c>
      <c r="AM263" s="3" t="s">
        <v>57</v>
      </c>
      <c r="AN263" s="3">
        <f>Results!$O$28</f>
        <v>2</v>
      </c>
      <c r="AO263" s="11">
        <v>3</v>
      </c>
      <c r="AP263" s="3">
        <f t="shared" ref="AP263:AP266" si="513">AN263*AO263</f>
        <v>6</v>
      </c>
      <c r="AQ263" s="3" t="s">
        <v>18</v>
      </c>
      <c r="AR263" s="3">
        <f>Results!$O$33</f>
        <v>2</v>
      </c>
      <c r="AS263" s="11">
        <v>3</v>
      </c>
      <c r="AT263" s="3">
        <f t="shared" ref="AT263:AT266" si="514">AR263*AS263</f>
        <v>6</v>
      </c>
      <c r="AU263" s="3" t="s">
        <v>17</v>
      </c>
      <c r="AV263" s="3">
        <f>Results!$O$38</f>
        <v>2</v>
      </c>
      <c r="AW263" s="11">
        <v>3</v>
      </c>
      <c r="AX263" s="3">
        <f t="shared" ref="AX263:AX266" si="515">AV263*AW263</f>
        <v>6</v>
      </c>
    </row>
    <row r="264" spans="1:50" ht="13.5" customHeight="1" x14ac:dyDescent="0.2">
      <c r="A264" s="3" t="s">
        <v>108</v>
      </c>
      <c r="B264" s="3">
        <f>Results!$O$24</f>
        <v>-5</v>
      </c>
      <c r="C264" s="11"/>
      <c r="D264" s="3">
        <f t="shared" si="504"/>
        <v>0</v>
      </c>
      <c r="E264" s="3" t="s">
        <v>75</v>
      </c>
      <c r="F264" s="3">
        <f>Results!$O$29</f>
        <v>5</v>
      </c>
      <c r="G264" s="11">
        <v>2</v>
      </c>
      <c r="H264" s="3">
        <f t="shared" si="505"/>
        <v>10</v>
      </c>
      <c r="I264" s="3" t="s">
        <v>111</v>
      </c>
      <c r="J264" s="3">
        <f>Results!$O$34</f>
        <v>2</v>
      </c>
      <c r="K264" s="11">
        <v>2</v>
      </c>
      <c r="L264" s="3">
        <f t="shared" si="506"/>
        <v>4</v>
      </c>
      <c r="M264" s="3" t="s">
        <v>113</v>
      </c>
      <c r="N264" s="3">
        <f>Results!$O$39</f>
        <v>2</v>
      </c>
      <c r="O264" s="11"/>
      <c r="P264" s="3">
        <f t="shared" si="507"/>
        <v>0</v>
      </c>
      <c r="R264" s="3" t="s">
        <v>108</v>
      </c>
      <c r="S264" s="3">
        <f>Results!$O$24</f>
        <v>-5</v>
      </c>
      <c r="T264" s="11"/>
      <c r="U264" s="3">
        <f t="shared" si="508"/>
        <v>0</v>
      </c>
      <c r="V264" s="3" t="s">
        <v>75</v>
      </c>
      <c r="W264" s="3">
        <f>Results!$O$29</f>
        <v>5</v>
      </c>
      <c r="X264" s="11">
        <v>2</v>
      </c>
      <c r="Y264" s="3">
        <f t="shared" si="509"/>
        <v>10</v>
      </c>
      <c r="Z264" s="3" t="s">
        <v>111</v>
      </c>
      <c r="AA264" s="3">
        <f>Results!$O$34</f>
        <v>2</v>
      </c>
      <c r="AB264" s="11">
        <v>1</v>
      </c>
      <c r="AC264" s="3">
        <f t="shared" si="510"/>
        <v>2</v>
      </c>
      <c r="AD264" s="3" t="s">
        <v>113</v>
      </c>
      <c r="AE264" s="3">
        <f>Results!$O$39</f>
        <v>2</v>
      </c>
      <c r="AF264" s="11"/>
      <c r="AG264" s="3">
        <f t="shared" si="511"/>
        <v>0</v>
      </c>
      <c r="AI264" s="3" t="s">
        <v>108</v>
      </c>
      <c r="AJ264" s="3">
        <f>Results!$O$24</f>
        <v>-5</v>
      </c>
      <c r="AK264" s="11"/>
      <c r="AL264" s="3">
        <f t="shared" si="512"/>
        <v>0</v>
      </c>
      <c r="AM264" s="3" t="s">
        <v>75</v>
      </c>
      <c r="AN264" s="3">
        <f>Results!$O$29</f>
        <v>5</v>
      </c>
      <c r="AO264" s="11">
        <v>2</v>
      </c>
      <c r="AP264" s="3">
        <f t="shared" si="513"/>
        <v>10</v>
      </c>
      <c r="AQ264" s="3" t="s">
        <v>111</v>
      </c>
      <c r="AR264" s="3">
        <f>Results!$O$34</f>
        <v>2</v>
      </c>
      <c r="AS264" s="11">
        <v>2</v>
      </c>
      <c r="AT264" s="3">
        <f t="shared" si="514"/>
        <v>4</v>
      </c>
      <c r="AU264" s="3" t="s">
        <v>113</v>
      </c>
      <c r="AV264" s="3">
        <f>Results!$O$39</f>
        <v>2</v>
      </c>
      <c r="AW264" s="11"/>
      <c r="AX264" s="3">
        <f t="shared" si="515"/>
        <v>0</v>
      </c>
    </row>
    <row r="265" spans="1:50" ht="13.5" customHeight="1" x14ac:dyDescent="0.2">
      <c r="A265" s="3" t="s">
        <v>109</v>
      </c>
      <c r="B265" s="3">
        <f>Results!$O$25</f>
        <v>4</v>
      </c>
      <c r="C265" s="11">
        <v>1</v>
      </c>
      <c r="D265" s="3">
        <f t="shared" si="504"/>
        <v>4</v>
      </c>
      <c r="E265" s="3" t="s">
        <v>110</v>
      </c>
      <c r="F265" s="3">
        <f>Results!$O$30</f>
        <v>14</v>
      </c>
      <c r="G265" s="11">
        <v>1</v>
      </c>
      <c r="H265" s="3">
        <f t="shared" si="505"/>
        <v>14</v>
      </c>
      <c r="I265" s="3" t="s">
        <v>67</v>
      </c>
      <c r="J265" s="3">
        <f>Results!$O$35</f>
        <v>4</v>
      </c>
      <c r="K265" s="11"/>
      <c r="L265" s="3">
        <f t="shared" si="506"/>
        <v>0</v>
      </c>
      <c r="M265" s="3" t="s">
        <v>70</v>
      </c>
      <c r="N265" s="3">
        <f>Results!$O$40</f>
        <v>3</v>
      </c>
      <c r="O265" s="11">
        <v>1</v>
      </c>
      <c r="P265" s="3">
        <f t="shared" si="507"/>
        <v>3</v>
      </c>
      <c r="R265" s="3" t="s">
        <v>109</v>
      </c>
      <c r="S265" s="3">
        <f>Results!$O$25</f>
        <v>4</v>
      </c>
      <c r="T265" s="11">
        <v>1</v>
      </c>
      <c r="U265" s="3">
        <f t="shared" si="508"/>
        <v>4</v>
      </c>
      <c r="V265" s="3" t="s">
        <v>110</v>
      </c>
      <c r="W265" s="3">
        <f>Results!$O$30</f>
        <v>14</v>
      </c>
      <c r="X265" s="11">
        <v>1</v>
      </c>
      <c r="Y265" s="3">
        <f t="shared" si="509"/>
        <v>14</v>
      </c>
      <c r="Z265" s="3" t="s">
        <v>67</v>
      </c>
      <c r="AA265" s="3">
        <f>Results!$O$35</f>
        <v>4</v>
      </c>
      <c r="AB265" s="11">
        <v>2</v>
      </c>
      <c r="AC265" s="3">
        <f t="shared" si="510"/>
        <v>8</v>
      </c>
      <c r="AD265" s="3" t="s">
        <v>70</v>
      </c>
      <c r="AE265" s="3">
        <f>Results!$O$40</f>
        <v>3</v>
      </c>
      <c r="AF265" s="11">
        <v>1</v>
      </c>
      <c r="AG265" s="3">
        <f t="shared" si="511"/>
        <v>3</v>
      </c>
      <c r="AI265" s="3" t="s">
        <v>109</v>
      </c>
      <c r="AJ265" s="3">
        <f>Results!$O$25</f>
        <v>4</v>
      </c>
      <c r="AK265" s="11">
        <v>1</v>
      </c>
      <c r="AL265" s="3">
        <f t="shared" si="512"/>
        <v>4</v>
      </c>
      <c r="AM265" s="3" t="s">
        <v>110</v>
      </c>
      <c r="AN265" s="3">
        <f>Results!$O$30</f>
        <v>14</v>
      </c>
      <c r="AO265" s="11">
        <v>1</v>
      </c>
      <c r="AP265" s="3">
        <f t="shared" si="513"/>
        <v>14</v>
      </c>
      <c r="AQ265" s="3" t="s">
        <v>67</v>
      </c>
      <c r="AR265" s="3">
        <f>Results!$O$35</f>
        <v>4</v>
      </c>
      <c r="AS265" s="11">
        <v>1</v>
      </c>
      <c r="AT265" s="3">
        <f t="shared" si="514"/>
        <v>4</v>
      </c>
      <c r="AU265" s="3" t="s">
        <v>70</v>
      </c>
      <c r="AV265" s="3">
        <f>Results!$O$40</f>
        <v>3</v>
      </c>
      <c r="AW265" s="11">
        <v>1</v>
      </c>
      <c r="AX265" s="3">
        <f t="shared" si="515"/>
        <v>3</v>
      </c>
    </row>
    <row r="266" spans="1:50" ht="13.5" customHeight="1" x14ac:dyDescent="0.2">
      <c r="A266" s="24" t="s">
        <v>91</v>
      </c>
      <c r="B266" s="24">
        <f>Results!$O$26</f>
        <v>-2</v>
      </c>
      <c r="C266" s="25">
        <v>2</v>
      </c>
      <c r="D266" s="24">
        <f t="shared" si="504"/>
        <v>-4</v>
      </c>
      <c r="E266" s="24" t="s">
        <v>73</v>
      </c>
      <c r="F266" s="24">
        <f>Results!$O$31</f>
        <v>-4</v>
      </c>
      <c r="G266" s="25"/>
      <c r="H266" s="24">
        <f t="shared" si="505"/>
        <v>0</v>
      </c>
      <c r="I266" s="24" t="s">
        <v>112</v>
      </c>
      <c r="J266" s="24">
        <f>Results!$O$36</f>
        <v>5</v>
      </c>
      <c r="K266" s="25">
        <v>1</v>
      </c>
      <c r="L266" s="24">
        <f t="shared" si="506"/>
        <v>5</v>
      </c>
      <c r="M266" s="24" t="s">
        <v>84</v>
      </c>
      <c r="N266" s="24">
        <f>Results!$O$41</f>
        <v>4</v>
      </c>
      <c r="O266" s="25">
        <v>2</v>
      </c>
      <c r="P266" s="24">
        <f t="shared" si="507"/>
        <v>8</v>
      </c>
      <c r="R266" s="24" t="s">
        <v>91</v>
      </c>
      <c r="S266" s="24">
        <f>Results!$O$26</f>
        <v>-2</v>
      </c>
      <c r="T266" s="25">
        <v>2</v>
      </c>
      <c r="U266" s="24">
        <f t="shared" si="508"/>
        <v>-4</v>
      </c>
      <c r="V266" s="24" t="s">
        <v>73</v>
      </c>
      <c r="W266" s="24">
        <f>Results!$O$31</f>
        <v>-4</v>
      </c>
      <c r="X266" s="25"/>
      <c r="Y266" s="24">
        <f t="shared" si="509"/>
        <v>0</v>
      </c>
      <c r="Z266" s="24" t="s">
        <v>112</v>
      </c>
      <c r="AA266" s="24">
        <f>Results!$O$36</f>
        <v>5</v>
      </c>
      <c r="AB266" s="25"/>
      <c r="AC266" s="24">
        <f t="shared" si="510"/>
        <v>0</v>
      </c>
      <c r="AD266" s="24" t="s">
        <v>84</v>
      </c>
      <c r="AE266" s="24">
        <f>Results!$O$41</f>
        <v>4</v>
      </c>
      <c r="AF266" s="25">
        <v>2</v>
      </c>
      <c r="AG266" s="24">
        <f t="shared" si="511"/>
        <v>8</v>
      </c>
      <c r="AI266" s="24" t="s">
        <v>91</v>
      </c>
      <c r="AJ266" s="24">
        <f>Results!$O$26</f>
        <v>-2</v>
      </c>
      <c r="AK266" s="25">
        <v>2</v>
      </c>
      <c r="AL266" s="24">
        <f t="shared" si="512"/>
        <v>-4</v>
      </c>
      <c r="AM266" s="24" t="s">
        <v>73</v>
      </c>
      <c r="AN266" s="24">
        <f>Results!$O$31</f>
        <v>-4</v>
      </c>
      <c r="AO266" s="25"/>
      <c r="AP266" s="24">
        <f t="shared" si="513"/>
        <v>0</v>
      </c>
      <c r="AQ266" s="24" t="s">
        <v>112</v>
      </c>
      <c r="AR266" s="24">
        <f>Results!$O$36</f>
        <v>5</v>
      </c>
      <c r="AS266" s="25"/>
      <c r="AT266" s="24">
        <f t="shared" si="514"/>
        <v>0</v>
      </c>
      <c r="AU266" s="24" t="s">
        <v>84</v>
      </c>
      <c r="AV266" s="24">
        <f>Results!$O$41</f>
        <v>4</v>
      </c>
      <c r="AW266" s="25">
        <v>2</v>
      </c>
      <c r="AX266" s="24">
        <f t="shared" si="515"/>
        <v>8</v>
      </c>
    </row>
    <row r="267" spans="1:50" ht="13.5" customHeight="1" x14ac:dyDescent="0.2">
      <c r="A267" s="14" t="s">
        <v>97</v>
      </c>
      <c r="B267" s="15" t="s">
        <v>51</v>
      </c>
      <c r="C267" s="16" t="s">
        <v>21</v>
      </c>
      <c r="D267" s="15" t="s">
        <v>49</v>
      </c>
      <c r="E267" s="15" t="s">
        <v>98</v>
      </c>
      <c r="F267" s="15" t="s">
        <v>51</v>
      </c>
      <c r="G267" s="16" t="s">
        <v>21</v>
      </c>
      <c r="H267" s="15" t="s">
        <v>49</v>
      </c>
      <c r="I267" s="15" t="s">
        <v>99</v>
      </c>
      <c r="J267" s="15" t="s">
        <v>51</v>
      </c>
      <c r="K267" s="16" t="s">
        <v>21</v>
      </c>
      <c r="L267" s="15" t="s">
        <v>49</v>
      </c>
      <c r="M267" s="15" t="s">
        <v>100</v>
      </c>
      <c r="N267" s="15" t="s">
        <v>51</v>
      </c>
      <c r="O267" s="16" t="s">
        <v>21</v>
      </c>
      <c r="P267" s="15" t="s">
        <v>49</v>
      </c>
      <c r="R267" s="14" t="s">
        <v>97</v>
      </c>
      <c r="S267" s="15" t="s">
        <v>51</v>
      </c>
      <c r="T267" s="16" t="s">
        <v>21</v>
      </c>
      <c r="U267" s="15" t="s">
        <v>49</v>
      </c>
      <c r="V267" s="15" t="s">
        <v>98</v>
      </c>
      <c r="W267" s="15" t="s">
        <v>51</v>
      </c>
      <c r="X267" s="16" t="s">
        <v>21</v>
      </c>
      <c r="Y267" s="15" t="s">
        <v>49</v>
      </c>
      <c r="Z267" s="15" t="s">
        <v>99</v>
      </c>
      <c r="AA267" s="15" t="s">
        <v>51</v>
      </c>
      <c r="AB267" s="16" t="s">
        <v>21</v>
      </c>
      <c r="AC267" s="15" t="s">
        <v>49</v>
      </c>
      <c r="AD267" s="15" t="s">
        <v>100</v>
      </c>
      <c r="AE267" s="15" t="s">
        <v>51</v>
      </c>
      <c r="AF267" s="16" t="s">
        <v>21</v>
      </c>
      <c r="AG267" s="15" t="s">
        <v>49</v>
      </c>
      <c r="AI267" s="14" t="s">
        <v>97</v>
      </c>
      <c r="AJ267" s="15" t="s">
        <v>51</v>
      </c>
      <c r="AK267" s="16" t="s">
        <v>21</v>
      </c>
      <c r="AL267" s="15" t="s">
        <v>49</v>
      </c>
      <c r="AM267" s="15" t="s">
        <v>98</v>
      </c>
      <c r="AN267" s="15" t="s">
        <v>51</v>
      </c>
      <c r="AO267" s="16" t="s">
        <v>21</v>
      </c>
      <c r="AP267" s="15" t="s">
        <v>49</v>
      </c>
      <c r="AQ267" s="15" t="s">
        <v>99</v>
      </c>
      <c r="AR267" s="15" t="s">
        <v>51</v>
      </c>
      <c r="AS267" s="16" t="s">
        <v>21</v>
      </c>
      <c r="AT267" s="15" t="s">
        <v>49</v>
      </c>
      <c r="AU267" s="15" t="s">
        <v>100</v>
      </c>
      <c r="AV267" s="15" t="s">
        <v>51</v>
      </c>
      <c r="AW267" s="16" t="s">
        <v>21</v>
      </c>
      <c r="AX267" s="15" t="s">
        <v>49</v>
      </c>
    </row>
    <row r="268" spans="1:50" ht="13.5" customHeight="1" x14ac:dyDescent="0.2">
      <c r="A268" s="3" t="s">
        <v>8</v>
      </c>
      <c r="B268" s="3">
        <f>Results!$O$43</f>
        <v>10</v>
      </c>
      <c r="C268" s="11">
        <v>3</v>
      </c>
      <c r="D268" s="3">
        <f t="shared" ref="D268:D271" si="516">B268*C268</f>
        <v>30</v>
      </c>
      <c r="E268" s="3" t="s">
        <v>69</v>
      </c>
      <c r="F268" s="3">
        <f>Results!$O$48</f>
        <v>11</v>
      </c>
      <c r="G268" s="11">
        <v>3</v>
      </c>
      <c r="H268" s="3">
        <f t="shared" ref="H268:H271" si="517">F268*G268</f>
        <v>33</v>
      </c>
      <c r="I268" s="3" t="s">
        <v>19</v>
      </c>
      <c r="J268" s="3">
        <f>Results!$O$53</f>
        <v>1</v>
      </c>
      <c r="K268" s="11">
        <v>3</v>
      </c>
      <c r="L268" s="3">
        <f t="shared" ref="L268:L271" si="518">J268*K268</f>
        <v>3</v>
      </c>
      <c r="M268" s="3" t="s">
        <v>10</v>
      </c>
      <c r="N268" s="3">
        <f>Results!$O$58</f>
        <v>11</v>
      </c>
      <c r="O268" s="11">
        <v>2</v>
      </c>
      <c r="P268" s="3">
        <f t="shared" ref="P268:P271" si="519">N268*O268</f>
        <v>22</v>
      </c>
      <c r="R268" s="3" t="s">
        <v>8</v>
      </c>
      <c r="S268" s="3">
        <f>Results!$O$43</f>
        <v>10</v>
      </c>
      <c r="T268" s="11">
        <v>5</v>
      </c>
      <c r="U268" s="3">
        <f t="shared" ref="U268:U271" si="520">S268*T268</f>
        <v>50</v>
      </c>
      <c r="V268" s="3" t="s">
        <v>69</v>
      </c>
      <c r="W268" s="3">
        <f>Results!$O$48</f>
        <v>11</v>
      </c>
      <c r="X268" s="11">
        <v>3</v>
      </c>
      <c r="Y268" s="3">
        <f t="shared" ref="Y268:Y271" si="521">W268*X268</f>
        <v>33</v>
      </c>
      <c r="Z268" s="3" t="s">
        <v>19</v>
      </c>
      <c r="AA268" s="3">
        <f>Results!$O$53</f>
        <v>1</v>
      </c>
      <c r="AB268" s="11">
        <v>3</v>
      </c>
      <c r="AC268" s="3">
        <f t="shared" ref="AC268:AC271" si="522">AA268*AB268</f>
        <v>3</v>
      </c>
      <c r="AD268" s="3" t="s">
        <v>10</v>
      </c>
      <c r="AE268" s="3">
        <f>Results!$O$58</f>
        <v>11</v>
      </c>
      <c r="AF268" s="11">
        <v>3</v>
      </c>
      <c r="AG268" s="3">
        <f t="shared" ref="AG268:AG271" si="523">AE268*AF268</f>
        <v>33</v>
      </c>
      <c r="AI268" s="3" t="s">
        <v>8</v>
      </c>
      <c r="AJ268" s="3">
        <f>Results!$O$43</f>
        <v>10</v>
      </c>
      <c r="AK268" s="11">
        <v>3</v>
      </c>
      <c r="AL268" s="3">
        <f t="shared" ref="AL268:AL271" si="524">AJ268*AK268</f>
        <v>30</v>
      </c>
      <c r="AM268" s="3" t="s">
        <v>69</v>
      </c>
      <c r="AN268" s="3">
        <f>Results!$O$48</f>
        <v>11</v>
      </c>
      <c r="AO268" s="11">
        <v>3</v>
      </c>
      <c r="AP268" s="3">
        <f t="shared" ref="AP268:AP271" si="525">AN268*AO268</f>
        <v>33</v>
      </c>
      <c r="AQ268" s="3" t="s">
        <v>19</v>
      </c>
      <c r="AR268" s="3">
        <f>Results!$O$53</f>
        <v>1</v>
      </c>
      <c r="AS268" s="11">
        <v>3</v>
      </c>
      <c r="AT268" s="3">
        <f t="shared" ref="AT268:AT271" si="526">AR268*AS268</f>
        <v>3</v>
      </c>
      <c r="AU268" s="3" t="s">
        <v>10</v>
      </c>
      <c r="AV268" s="3">
        <f>Results!$O$58</f>
        <v>11</v>
      </c>
      <c r="AW268" s="11">
        <v>3</v>
      </c>
      <c r="AX268" s="3">
        <f t="shared" ref="AX268:AX271" si="527">AV268*AW268</f>
        <v>33</v>
      </c>
    </row>
    <row r="269" spans="1:50" ht="13.5" customHeight="1" x14ac:dyDescent="0.2">
      <c r="A269" s="3" t="s">
        <v>66</v>
      </c>
      <c r="B269" s="3">
        <f>Results!$O$44</f>
        <v>-1</v>
      </c>
      <c r="C269" s="11">
        <v>1</v>
      </c>
      <c r="D269" s="3">
        <f t="shared" si="516"/>
        <v>-1</v>
      </c>
      <c r="E269" s="3" t="s">
        <v>116</v>
      </c>
      <c r="F269" s="3">
        <f>Results!$O$49</f>
        <v>-3</v>
      </c>
      <c r="G269" s="11">
        <v>1</v>
      </c>
      <c r="H269" s="3">
        <f t="shared" si="517"/>
        <v>-3</v>
      </c>
      <c r="I269" s="3" t="s">
        <v>119</v>
      </c>
      <c r="J269" s="3">
        <f>Results!$O$54</f>
        <v>3</v>
      </c>
      <c r="K269" s="11">
        <v>1</v>
      </c>
      <c r="L269" s="3">
        <f t="shared" si="518"/>
        <v>3</v>
      </c>
      <c r="M269" s="3" t="s">
        <v>16</v>
      </c>
      <c r="N269" s="3">
        <f>Results!$O$59</f>
        <v>0</v>
      </c>
      <c r="O269" s="11">
        <v>3</v>
      </c>
      <c r="P269" s="3">
        <f t="shared" si="519"/>
        <v>0</v>
      </c>
      <c r="R269" s="3" t="s">
        <v>66</v>
      </c>
      <c r="S269" s="3">
        <f>Results!$O$44</f>
        <v>-1</v>
      </c>
      <c r="T269" s="11">
        <v>3</v>
      </c>
      <c r="U269" s="3">
        <f t="shared" si="520"/>
        <v>-3</v>
      </c>
      <c r="V269" s="3" t="s">
        <v>116</v>
      </c>
      <c r="W269" s="3">
        <f>Results!$O$49</f>
        <v>-3</v>
      </c>
      <c r="X269" s="11">
        <v>2</v>
      </c>
      <c r="Y269" s="3">
        <f t="shared" si="521"/>
        <v>-6</v>
      </c>
      <c r="Z269" s="3" t="s">
        <v>119</v>
      </c>
      <c r="AA269" s="3">
        <f>Results!$O$54</f>
        <v>3</v>
      </c>
      <c r="AB269" s="11"/>
      <c r="AC269" s="3">
        <f t="shared" si="522"/>
        <v>0</v>
      </c>
      <c r="AD269" s="3" t="s">
        <v>16</v>
      </c>
      <c r="AE269" s="3">
        <f>Results!$O$59</f>
        <v>0</v>
      </c>
      <c r="AF269" s="11">
        <v>1</v>
      </c>
      <c r="AG269" s="3">
        <f t="shared" si="523"/>
        <v>0</v>
      </c>
      <c r="AI269" s="3" t="s">
        <v>66</v>
      </c>
      <c r="AJ269" s="3">
        <f>Results!$O$44</f>
        <v>-1</v>
      </c>
      <c r="AK269" s="11">
        <v>2</v>
      </c>
      <c r="AL269" s="3">
        <f t="shared" si="524"/>
        <v>-2</v>
      </c>
      <c r="AM269" s="3" t="s">
        <v>116</v>
      </c>
      <c r="AN269" s="3">
        <f>Results!$O$49</f>
        <v>-3</v>
      </c>
      <c r="AO269" s="11">
        <v>1</v>
      </c>
      <c r="AP269" s="3">
        <f t="shared" si="525"/>
        <v>-3</v>
      </c>
      <c r="AQ269" s="3" t="s">
        <v>119</v>
      </c>
      <c r="AR269" s="3">
        <f>Results!$O$54</f>
        <v>3</v>
      </c>
      <c r="AS269" s="11">
        <v>1</v>
      </c>
      <c r="AT269" s="3">
        <f t="shared" si="526"/>
        <v>3</v>
      </c>
      <c r="AU269" s="3" t="s">
        <v>16</v>
      </c>
      <c r="AV269" s="3">
        <f>Results!$O$59</f>
        <v>0</v>
      </c>
      <c r="AW269" s="11">
        <v>2</v>
      </c>
      <c r="AX269" s="3">
        <f t="shared" si="527"/>
        <v>0</v>
      </c>
    </row>
    <row r="270" spans="1:50" ht="13.5" customHeight="1" x14ac:dyDescent="0.2">
      <c r="A270" s="3" t="s">
        <v>114</v>
      </c>
      <c r="B270" s="3">
        <f>Results!$O$45</f>
        <v>-3</v>
      </c>
      <c r="C270" s="11"/>
      <c r="D270" s="3">
        <f t="shared" si="516"/>
        <v>0</v>
      </c>
      <c r="E270" s="3" t="s">
        <v>117</v>
      </c>
      <c r="F270" s="3">
        <f>Results!$O$50</f>
        <v>9</v>
      </c>
      <c r="G270" s="11">
        <v>2</v>
      </c>
      <c r="H270" s="3">
        <f t="shared" si="517"/>
        <v>18</v>
      </c>
      <c r="I270" s="3" t="s">
        <v>120</v>
      </c>
      <c r="J270" s="3">
        <f>Results!$O$55</f>
        <v>-2</v>
      </c>
      <c r="K270" s="11"/>
      <c r="L270" s="3">
        <f t="shared" si="518"/>
        <v>0</v>
      </c>
      <c r="M270" s="3" t="s">
        <v>83</v>
      </c>
      <c r="N270" s="3">
        <f>Results!$O$60</f>
        <v>6</v>
      </c>
      <c r="O270" s="11">
        <v>1</v>
      </c>
      <c r="P270" s="3">
        <f t="shared" si="519"/>
        <v>6</v>
      </c>
      <c r="R270" s="3" t="s">
        <v>114</v>
      </c>
      <c r="S270" s="3">
        <f>Results!$O$45</f>
        <v>-3</v>
      </c>
      <c r="T270" s="11">
        <v>1</v>
      </c>
      <c r="U270" s="3">
        <f t="shared" si="520"/>
        <v>-3</v>
      </c>
      <c r="V270" s="3" t="s">
        <v>117</v>
      </c>
      <c r="W270" s="3">
        <f>Results!$O$50</f>
        <v>9</v>
      </c>
      <c r="X270" s="11">
        <v>1</v>
      </c>
      <c r="Y270" s="3">
        <f t="shared" si="521"/>
        <v>9</v>
      </c>
      <c r="Z270" s="3" t="s">
        <v>120</v>
      </c>
      <c r="AA270" s="3">
        <f>Results!$O$55</f>
        <v>-2</v>
      </c>
      <c r="AB270" s="11">
        <v>2</v>
      </c>
      <c r="AC270" s="3">
        <f t="shared" si="522"/>
        <v>-4</v>
      </c>
      <c r="AD270" s="3" t="s">
        <v>83</v>
      </c>
      <c r="AE270" s="3">
        <f>Results!$O$60</f>
        <v>6</v>
      </c>
      <c r="AF270" s="11">
        <v>2</v>
      </c>
      <c r="AG270" s="3">
        <f t="shared" si="523"/>
        <v>12</v>
      </c>
      <c r="AI270" s="3" t="s">
        <v>114</v>
      </c>
      <c r="AJ270" s="3">
        <f>Results!$O$45</f>
        <v>-3</v>
      </c>
      <c r="AK270" s="11"/>
      <c r="AL270" s="3">
        <f t="shared" si="524"/>
        <v>0</v>
      </c>
      <c r="AM270" s="3" t="s">
        <v>117</v>
      </c>
      <c r="AN270" s="3">
        <f>Results!$O$50</f>
        <v>9</v>
      </c>
      <c r="AO270" s="11">
        <v>2</v>
      </c>
      <c r="AP270" s="3">
        <f t="shared" si="525"/>
        <v>18</v>
      </c>
      <c r="AQ270" s="3" t="s">
        <v>120</v>
      </c>
      <c r="AR270" s="3">
        <f>Results!$O$55</f>
        <v>-2</v>
      </c>
      <c r="AS270" s="11"/>
      <c r="AT270" s="3">
        <f t="shared" si="526"/>
        <v>0</v>
      </c>
      <c r="AU270" s="3" t="s">
        <v>83</v>
      </c>
      <c r="AV270" s="3">
        <f>Results!$O$60</f>
        <v>6</v>
      </c>
      <c r="AW270" s="11">
        <v>1</v>
      </c>
      <c r="AX270" s="3">
        <f t="shared" si="527"/>
        <v>6</v>
      </c>
    </row>
    <row r="271" spans="1:50" ht="13.5" customHeight="1" thickBot="1" x14ac:dyDescent="0.25">
      <c r="A271" s="19" t="s">
        <v>115</v>
      </c>
      <c r="B271" s="19">
        <f>Results!$O$46</f>
        <v>12</v>
      </c>
      <c r="C271" s="20">
        <v>2</v>
      </c>
      <c r="D271" s="19">
        <f t="shared" si="516"/>
        <v>24</v>
      </c>
      <c r="E271" s="19" t="s">
        <v>118</v>
      </c>
      <c r="F271" s="19">
        <f>Results!$O$51</f>
        <v>-1</v>
      </c>
      <c r="G271" s="20"/>
      <c r="H271" s="19">
        <f t="shared" si="517"/>
        <v>0</v>
      </c>
      <c r="I271" s="19" t="s">
        <v>121</v>
      </c>
      <c r="J271" s="19">
        <f>Results!$O$56</f>
        <v>9</v>
      </c>
      <c r="K271" s="20">
        <v>2</v>
      </c>
      <c r="L271" s="19">
        <f t="shared" si="518"/>
        <v>18</v>
      </c>
      <c r="M271" s="19" t="s">
        <v>122</v>
      </c>
      <c r="N271" s="19">
        <f>Results!$O$61</f>
        <v>-3</v>
      </c>
      <c r="O271" s="20"/>
      <c r="P271" s="19">
        <f t="shared" si="519"/>
        <v>0</v>
      </c>
      <c r="R271" s="19" t="s">
        <v>115</v>
      </c>
      <c r="S271" s="19">
        <f>Results!$O$46</f>
        <v>12</v>
      </c>
      <c r="T271" s="20">
        <v>2</v>
      </c>
      <c r="U271" s="19">
        <f t="shared" si="520"/>
        <v>24</v>
      </c>
      <c r="V271" s="19" t="s">
        <v>118</v>
      </c>
      <c r="W271" s="19">
        <f>Results!$O$51</f>
        <v>-1</v>
      </c>
      <c r="X271" s="20"/>
      <c r="Y271" s="19">
        <f t="shared" si="521"/>
        <v>0</v>
      </c>
      <c r="Z271" s="19" t="s">
        <v>121</v>
      </c>
      <c r="AA271" s="19">
        <f>Results!$O$56</f>
        <v>9</v>
      </c>
      <c r="AB271" s="20">
        <v>1</v>
      </c>
      <c r="AC271" s="19">
        <f t="shared" si="522"/>
        <v>9</v>
      </c>
      <c r="AD271" s="19" t="s">
        <v>122</v>
      </c>
      <c r="AE271" s="19">
        <f>Results!$O$61</f>
        <v>-3</v>
      </c>
      <c r="AF271" s="20"/>
      <c r="AG271" s="19">
        <f t="shared" si="523"/>
        <v>0</v>
      </c>
      <c r="AI271" s="19" t="s">
        <v>115</v>
      </c>
      <c r="AJ271" s="19">
        <f>Results!$O$46</f>
        <v>12</v>
      </c>
      <c r="AK271" s="20">
        <v>1</v>
      </c>
      <c r="AL271" s="19">
        <f t="shared" si="524"/>
        <v>12</v>
      </c>
      <c r="AM271" s="19" t="s">
        <v>118</v>
      </c>
      <c r="AN271" s="19">
        <f>Results!$O$51</f>
        <v>-1</v>
      </c>
      <c r="AO271" s="20"/>
      <c r="AP271" s="19">
        <f t="shared" si="525"/>
        <v>0</v>
      </c>
      <c r="AQ271" s="19" t="s">
        <v>121</v>
      </c>
      <c r="AR271" s="19">
        <f>Results!$O$56</f>
        <v>9</v>
      </c>
      <c r="AS271" s="20">
        <v>2</v>
      </c>
      <c r="AT271" s="19">
        <f t="shared" si="526"/>
        <v>18</v>
      </c>
      <c r="AU271" s="19" t="s">
        <v>122</v>
      </c>
      <c r="AV271" s="19">
        <f>Results!$O$61</f>
        <v>-3</v>
      </c>
      <c r="AW271" s="20"/>
      <c r="AX271" s="19">
        <f t="shared" si="527"/>
        <v>0</v>
      </c>
    </row>
    <row r="272" spans="1:50" s="27" customFormat="1" ht="13.5" customHeight="1" thickBot="1" x14ac:dyDescent="0.25">
      <c r="A272" s="35"/>
      <c r="B272" s="36"/>
      <c r="C272" s="37"/>
      <c r="D272" s="36"/>
      <c r="E272" s="36"/>
      <c r="F272" s="36"/>
      <c r="G272" s="37"/>
      <c r="H272" s="36"/>
      <c r="I272" s="36"/>
      <c r="J272" s="36"/>
      <c r="K272" s="37"/>
      <c r="L272" s="36"/>
      <c r="M272" s="36"/>
      <c r="N272" s="36"/>
      <c r="O272" s="37"/>
      <c r="P272" s="36"/>
      <c r="R272" s="35"/>
      <c r="S272" s="36"/>
      <c r="T272" s="37"/>
      <c r="U272" s="36"/>
      <c r="V272" s="36"/>
      <c r="W272" s="36"/>
      <c r="X272" s="37"/>
      <c r="Y272" s="36"/>
      <c r="Z272" s="36"/>
      <c r="AA272" s="36"/>
      <c r="AB272" s="37"/>
      <c r="AC272" s="36"/>
      <c r="AD272" s="36"/>
      <c r="AE272" s="36"/>
      <c r="AF272" s="37"/>
      <c r="AG272" s="36"/>
      <c r="AI272" s="35"/>
      <c r="AJ272" s="36"/>
      <c r="AK272" s="37"/>
      <c r="AL272" s="36"/>
      <c r="AM272" s="36"/>
      <c r="AN272" s="36"/>
      <c r="AO272" s="37"/>
      <c r="AP272" s="36"/>
      <c r="AQ272" s="36"/>
      <c r="AR272" s="36"/>
      <c r="AS272" s="37"/>
      <c r="AT272" s="36"/>
      <c r="AU272" s="36"/>
      <c r="AV272" s="36"/>
      <c r="AW272" s="37"/>
      <c r="AX272" s="36"/>
    </row>
    <row r="273" spans="1:50" ht="13.5" customHeight="1" x14ac:dyDescent="0.2">
      <c r="A273" s="12" t="s">
        <v>0</v>
      </c>
      <c r="B273" s="59" t="s">
        <v>158</v>
      </c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13" t="s">
        <v>50</v>
      </c>
      <c r="N273" s="61">
        <f>SUM(D275:D278,D280:D283,H275:H278, H280:H283,L275:L278,L280:L283,P275:P278,P280:P283,D285:D288,H285:H288,L285:L288,P285:P288)</f>
        <v>401</v>
      </c>
      <c r="O273" s="61"/>
      <c r="P273" s="66"/>
      <c r="R273" s="12" t="s">
        <v>0</v>
      </c>
      <c r="S273" s="59" t="s">
        <v>161</v>
      </c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13" t="s">
        <v>50</v>
      </c>
      <c r="AE273" s="61">
        <f>SUM(U275:U278,U280:U283,Y275:Y278, Y280:Y283,AC275:AC278,AC280:AC283,AG275:AG278,AG280:AG283,U285:U288,Y285:Y288,AC285:AC288,AG285:AG288)</f>
        <v>369</v>
      </c>
      <c r="AF273" s="61"/>
      <c r="AG273" s="66"/>
      <c r="AI273" s="12" t="s">
        <v>0</v>
      </c>
      <c r="AJ273" s="59" t="s">
        <v>165</v>
      </c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13" t="s">
        <v>50</v>
      </c>
      <c r="AV273" s="61">
        <f>SUM(AL275:AL278,AL280:AL283,AP275:AP278, AP280:AP283,AT275:AT278,AT280:AT283,AX275:AX278,AX280:AX283,AL285:AL288,AP285:AP288,AT285:AT288,AX285:AX288)</f>
        <v>345</v>
      </c>
      <c r="AW273" s="61"/>
      <c r="AX273" s="66"/>
    </row>
    <row r="274" spans="1:50" ht="13.5" customHeight="1" x14ac:dyDescent="0.2">
      <c r="A274" s="14" t="s">
        <v>3</v>
      </c>
      <c r="B274" s="15" t="s">
        <v>51</v>
      </c>
      <c r="C274" s="16" t="s">
        <v>21</v>
      </c>
      <c r="D274" s="15" t="s">
        <v>49</v>
      </c>
      <c r="E274" s="15" t="s">
        <v>6</v>
      </c>
      <c r="F274" s="15" t="s">
        <v>51</v>
      </c>
      <c r="G274" s="16" t="s">
        <v>21</v>
      </c>
      <c r="H274" s="15" t="s">
        <v>49</v>
      </c>
      <c r="I274" s="15" t="s">
        <v>7</v>
      </c>
      <c r="J274" s="15" t="s">
        <v>51</v>
      </c>
      <c r="K274" s="16" t="s">
        <v>21</v>
      </c>
      <c r="L274" s="15" t="s">
        <v>49</v>
      </c>
      <c r="M274" s="15" t="s">
        <v>13</v>
      </c>
      <c r="N274" s="15" t="s">
        <v>51</v>
      </c>
      <c r="O274" s="16" t="s">
        <v>21</v>
      </c>
      <c r="P274" s="17" t="s">
        <v>49</v>
      </c>
      <c r="R274" s="14" t="s">
        <v>3</v>
      </c>
      <c r="S274" s="15" t="s">
        <v>51</v>
      </c>
      <c r="T274" s="16" t="s">
        <v>21</v>
      </c>
      <c r="U274" s="15" t="s">
        <v>49</v>
      </c>
      <c r="V274" s="15" t="s">
        <v>6</v>
      </c>
      <c r="W274" s="15" t="s">
        <v>51</v>
      </c>
      <c r="X274" s="16" t="s">
        <v>21</v>
      </c>
      <c r="Y274" s="15" t="s">
        <v>49</v>
      </c>
      <c r="Z274" s="15" t="s">
        <v>7</v>
      </c>
      <c r="AA274" s="15" t="s">
        <v>51</v>
      </c>
      <c r="AB274" s="16" t="s">
        <v>21</v>
      </c>
      <c r="AC274" s="15" t="s">
        <v>49</v>
      </c>
      <c r="AD274" s="15" t="s">
        <v>13</v>
      </c>
      <c r="AE274" s="15" t="s">
        <v>51</v>
      </c>
      <c r="AF274" s="16" t="s">
        <v>21</v>
      </c>
      <c r="AG274" s="17" t="s">
        <v>49</v>
      </c>
      <c r="AI274" s="14" t="s">
        <v>3</v>
      </c>
      <c r="AJ274" s="15" t="s">
        <v>51</v>
      </c>
      <c r="AK274" s="16" t="s">
        <v>21</v>
      </c>
      <c r="AL274" s="15" t="s">
        <v>49</v>
      </c>
      <c r="AM274" s="15" t="s">
        <v>6</v>
      </c>
      <c r="AN274" s="15" t="s">
        <v>51</v>
      </c>
      <c r="AO274" s="16" t="s">
        <v>21</v>
      </c>
      <c r="AP274" s="15" t="s">
        <v>49</v>
      </c>
      <c r="AQ274" s="15" t="s">
        <v>7</v>
      </c>
      <c r="AR274" s="15" t="s">
        <v>51</v>
      </c>
      <c r="AS274" s="16" t="s">
        <v>21</v>
      </c>
      <c r="AT274" s="15" t="s">
        <v>49</v>
      </c>
      <c r="AU274" s="15" t="s">
        <v>13</v>
      </c>
      <c r="AV274" s="15" t="s">
        <v>51</v>
      </c>
      <c r="AW274" s="16" t="s">
        <v>21</v>
      </c>
      <c r="AX274" s="17" t="s">
        <v>49</v>
      </c>
    </row>
    <row r="275" spans="1:50" ht="13.5" customHeight="1" x14ac:dyDescent="0.2">
      <c r="A275" s="3" t="s">
        <v>71</v>
      </c>
      <c r="B275" s="3">
        <f>Results!$O$3</f>
        <v>3</v>
      </c>
      <c r="C275" s="11">
        <v>3</v>
      </c>
      <c r="D275" s="3">
        <f t="shared" ref="D275:D278" si="528">B275*C275</f>
        <v>9</v>
      </c>
      <c r="E275" s="3" t="s">
        <v>76</v>
      </c>
      <c r="F275" s="3">
        <f>Results!$O$8</f>
        <v>2</v>
      </c>
      <c r="G275" s="11">
        <v>2</v>
      </c>
      <c r="H275" s="3">
        <f t="shared" ref="H275:H278" si="529">F275*G275</f>
        <v>4</v>
      </c>
      <c r="I275" s="3" t="s">
        <v>80</v>
      </c>
      <c r="J275" s="3">
        <f>Results!$O$13</f>
        <v>2</v>
      </c>
      <c r="K275" s="11">
        <v>3</v>
      </c>
      <c r="L275" s="3">
        <f t="shared" ref="L275:L278" si="530">J275*K275</f>
        <v>6</v>
      </c>
      <c r="M275" s="3" t="s">
        <v>68</v>
      </c>
      <c r="N275" s="3">
        <f>Results!$O$18</f>
        <v>11</v>
      </c>
      <c r="O275" s="11">
        <v>3</v>
      </c>
      <c r="P275" s="18">
        <f>N275*O275</f>
        <v>33</v>
      </c>
      <c r="R275" s="3" t="s">
        <v>71</v>
      </c>
      <c r="S275" s="3">
        <f>Results!$O$3</f>
        <v>3</v>
      </c>
      <c r="T275" s="11">
        <v>3</v>
      </c>
      <c r="U275" s="3">
        <f t="shared" ref="U275:U278" si="531">S275*T275</f>
        <v>9</v>
      </c>
      <c r="V275" s="3" t="s">
        <v>76</v>
      </c>
      <c r="W275" s="3">
        <f>Results!$O$8</f>
        <v>2</v>
      </c>
      <c r="X275" s="11">
        <v>3</v>
      </c>
      <c r="Y275" s="3">
        <f t="shared" ref="Y275:Y278" si="532">W275*X275</f>
        <v>6</v>
      </c>
      <c r="Z275" s="3" t="s">
        <v>80</v>
      </c>
      <c r="AA275" s="3">
        <f>Results!$O$13</f>
        <v>2</v>
      </c>
      <c r="AB275" s="11">
        <v>3</v>
      </c>
      <c r="AC275" s="3">
        <f t="shared" ref="AC275:AC278" si="533">AA275*AB275</f>
        <v>6</v>
      </c>
      <c r="AD275" s="3" t="s">
        <v>68</v>
      </c>
      <c r="AE275" s="3">
        <f>Results!$O$18</f>
        <v>11</v>
      </c>
      <c r="AF275" s="11">
        <v>3</v>
      </c>
      <c r="AG275" s="18">
        <f>AE275*AF275</f>
        <v>33</v>
      </c>
      <c r="AI275" s="3" t="s">
        <v>71</v>
      </c>
      <c r="AJ275" s="3">
        <f>Results!$O$3</f>
        <v>3</v>
      </c>
      <c r="AK275" s="11">
        <v>3</v>
      </c>
      <c r="AL275" s="3">
        <f t="shared" ref="AL275:AL278" si="534">AJ275*AK275</f>
        <v>9</v>
      </c>
      <c r="AM275" s="3" t="s">
        <v>76</v>
      </c>
      <c r="AN275" s="3">
        <f>Results!$O$8</f>
        <v>2</v>
      </c>
      <c r="AO275" s="11">
        <v>2</v>
      </c>
      <c r="AP275" s="3">
        <f t="shared" ref="AP275:AP278" si="535">AN275*AO275</f>
        <v>4</v>
      </c>
      <c r="AQ275" s="3" t="s">
        <v>80</v>
      </c>
      <c r="AR275" s="3">
        <f>Results!$O$13</f>
        <v>2</v>
      </c>
      <c r="AS275" s="11">
        <v>3</v>
      </c>
      <c r="AT275" s="3">
        <f t="shared" ref="AT275:AT278" si="536">AR275*AS275</f>
        <v>6</v>
      </c>
      <c r="AU275" s="3" t="s">
        <v>68</v>
      </c>
      <c r="AV275" s="3">
        <f>Results!$O$18</f>
        <v>11</v>
      </c>
      <c r="AW275" s="11"/>
      <c r="AX275" s="18">
        <f>AV275*AW275</f>
        <v>0</v>
      </c>
    </row>
    <row r="276" spans="1:50" ht="13.5" customHeight="1" x14ac:dyDescent="0.2">
      <c r="A276" s="3" t="s">
        <v>123</v>
      </c>
      <c r="B276" s="3">
        <f>Results!$O$4</f>
        <v>-14</v>
      </c>
      <c r="C276" s="11">
        <v>1</v>
      </c>
      <c r="D276" s="3">
        <f t="shared" si="528"/>
        <v>-14</v>
      </c>
      <c r="E276" s="3" t="s">
        <v>103</v>
      </c>
      <c r="F276" s="3">
        <f>Results!$O$9</f>
        <v>1</v>
      </c>
      <c r="G276" s="11">
        <v>1</v>
      </c>
      <c r="H276" s="3">
        <f t="shared" si="529"/>
        <v>1</v>
      </c>
      <c r="I276" s="3" t="s">
        <v>77</v>
      </c>
      <c r="J276" s="3">
        <f>Results!$O$14</f>
        <v>4</v>
      </c>
      <c r="K276" s="11">
        <v>1</v>
      </c>
      <c r="L276" s="3">
        <f t="shared" si="530"/>
        <v>4</v>
      </c>
      <c r="M276" s="3" t="s">
        <v>106</v>
      </c>
      <c r="N276" s="3">
        <f>Results!$O$19</f>
        <v>-7</v>
      </c>
      <c r="O276" s="11"/>
      <c r="P276" s="18">
        <f>N276*O276</f>
        <v>0</v>
      </c>
      <c r="R276" s="3" t="s">
        <v>123</v>
      </c>
      <c r="S276" s="3">
        <f>Results!$O$4</f>
        <v>-14</v>
      </c>
      <c r="T276" s="11"/>
      <c r="U276" s="3">
        <f t="shared" si="531"/>
        <v>0</v>
      </c>
      <c r="V276" s="3" t="s">
        <v>103</v>
      </c>
      <c r="W276" s="3">
        <f>Results!$O$9</f>
        <v>1</v>
      </c>
      <c r="X276" s="11">
        <v>1</v>
      </c>
      <c r="Y276" s="3">
        <f t="shared" si="532"/>
        <v>1</v>
      </c>
      <c r="Z276" s="3" t="s">
        <v>77</v>
      </c>
      <c r="AA276" s="3">
        <f>Results!$O$14</f>
        <v>4</v>
      </c>
      <c r="AB276" s="11">
        <v>2</v>
      </c>
      <c r="AC276" s="3">
        <f t="shared" si="533"/>
        <v>8</v>
      </c>
      <c r="AD276" s="3" t="s">
        <v>106</v>
      </c>
      <c r="AE276" s="3">
        <f>Results!$O$19</f>
        <v>-7</v>
      </c>
      <c r="AF276" s="11">
        <v>2</v>
      </c>
      <c r="AG276" s="18">
        <f>AE276*AF276</f>
        <v>-14</v>
      </c>
      <c r="AI276" s="3" t="s">
        <v>123</v>
      </c>
      <c r="AJ276" s="3">
        <f>Results!$O$4</f>
        <v>-14</v>
      </c>
      <c r="AK276" s="11"/>
      <c r="AL276" s="3">
        <f t="shared" si="534"/>
        <v>0</v>
      </c>
      <c r="AM276" s="3" t="s">
        <v>103</v>
      </c>
      <c r="AN276" s="3">
        <f>Results!$O$9</f>
        <v>1</v>
      </c>
      <c r="AO276" s="11"/>
      <c r="AP276" s="3">
        <f t="shared" si="535"/>
        <v>0</v>
      </c>
      <c r="AQ276" s="3" t="s">
        <v>77</v>
      </c>
      <c r="AR276" s="3">
        <f>Results!$O$14</f>
        <v>4</v>
      </c>
      <c r="AS276" s="11">
        <v>2</v>
      </c>
      <c r="AT276" s="3">
        <f t="shared" si="536"/>
        <v>8</v>
      </c>
      <c r="AU276" s="3" t="s">
        <v>106</v>
      </c>
      <c r="AV276" s="3">
        <f>Results!$O$19</f>
        <v>-7</v>
      </c>
      <c r="AW276" s="11">
        <v>3</v>
      </c>
      <c r="AX276" s="18">
        <f>AV276*AW276</f>
        <v>-21</v>
      </c>
    </row>
    <row r="277" spans="1:50" ht="13.5" customHeight="1" x14ac:dyDescent="0.2">
      <c r="A277" s="3" t="s">
        <v>124</v>
      </c>
      <c r="B277" s="3">
        <f>Results!$O$5</f>
        <v>7</v>
      </c>
      <c r="C277" s="11">
        <v>2</v>
      </c>
      <c r="D277" s="3">
        <f t="shared" si="528"/>
        <v>14</v>
      </c>
      <c r="E277" s="3" t="s">
        <v>65</v>
      </c>
      <c r="F277" s="3">
        <f>Results!$O$10</f>
        <v>2</v>
      </c>
      <c r="G277" s="11"/>
      <c r="H277" s="3">
        <f t="shared" si="529"/>
        <v>0</v>
      </c>
      <c r="I277" s="3" t="s">
        <v>104</v>
      </c>
      <c r="J277" s="3">
        <f>Results!$O$15</f>
        <v>-2</v>
      </c>
      <c r="K277" s="11"/>
      <c r="L277" s="3">
        <f t="shared" si="530"/>
        <v>0</v>
      </c>
      <c r="M277" s="3" t="s">
        <v>72</v>
      </c>
      <c r="N277" s="3">
        <f>Results!$O$20</f>
        <v>9</v>
      </c>
      <c r="O277" s="11">
        <v>2</v>
      </c>
      <c r="P277" s="18">
        <f>N277*O277</f>
        <v>18</v>
      </c>
      <c r="R277" s="3" t="s">
        <v>124</v>
      </c>
      <c r="S277" s="3">
        <f>Results!$O$5</f>
        <v>7</v>
      </c>
      <c r="T277" s="11">
        <v>1</v>
      </c>
      <c r="U277" s="3">
        <f t="shared" si="531"/>
        <v>7</v>
      </c>
      <c r="V277" s="3" t="s">
        <v>65</v>
      </c>
      <c r="W277" s="3">
        <f>Results!$O$10</f>
        <v>2</v>
      </c>
      <c r="X277" s="11"/>
      <c r="Y277" s="3">
        <f t="shared" si="532"/>
        <v>0</v>
      </c>
      <c r="Z277" s="3" t="s">
        <v>104</v>
      </c>
      <c r="AA277" s="3">
        <f>Results!$O$15</f>
        <v>-2</v>
      </c>
      <c r="AB277" s="11"/>
      <c r="AC277" s="3">
        <f t="shared" si="533"/>
        <v>0</v>
      </c>
      <c r="AD277" s="3" t="s">
        <v>72</v>
      </c>
      <c r="AE277" s="3">
        <f>Results!$O$20</f>
        <v>9</v>
      </c>
      <c r="AF277" s="11">
        <v>1</v>
      </c>
      <c r="AG277" s="18">
        <f>AE277*AF277</f>
        <v>9</v>
      </c>
      <c r="AI277" s="3" t="s">
        <v>124</v>
      </c>
      <c r="AJ277" s="3">
        <f>Results!$O$5</f>
        <v>7</v>
      </c>
      <c r="AK277" s="11">
        <v>1</v>
      </c>
      <c r="AL277" s="3">
        <f t="shared" si="534"/>
        <v>7</v>
      </c>
      <c r="AM277" s="3" t="s">
        <v>65</v>
      </c>
      <c r="AN277" s="3">
        <f>Results!$O$10</f>
        <v>2</v>
      </c>
      <c r="AO277" s="11">
        <v>1</v>
      </c>
      <c r="AP277" s="3">
        <f t="shared" si="535"/>
        <v>2</v>
      </c>
      <c r="AQ277" s="3" t="s">
        <v>104</v>
      </c>
      <c r="AR277" s="3">
        <f>Results!$O$15</f>
        <v>-2</v>
      </c>
      <c r="AS277" s="11"/>
      <c r="AT277" s="3">
        <f t="shared" si="536"/>
        <v>0</v>
      </c>
      <c r="AU277" s="3" t="s">
        <v>72</v>
      </c>
      <c r="AV277" s="3">
        <f>Results!$O$20</f>
        <v>9</v>
      </c>
      <c r="AW277" s="11">
        <v>2</v>
      </c>
      <c r="AX277" s="18">
        <f>AV277*AW277</f>
        <v>18</v>
      </c>
    </row>
    <row r="278" spans="1:50" ht="13.5" customHeight="1" x14ac:dyDescent="0.2">
      <c r="A278" s="3" t="s">
        <v>102</v>
      </c>
      <c r="B278" s="3">
        <f>Results!$O$6</f>
        <v>0</v>
      </c>
      <c r="C278" s="11"/>
      <c r="D278" s="3">
        <f t="shared" si="528"/>
        <v>0</v>
      </c>
      <c r="E278" s="3" t="s">
        <v>12</v>
      </c>
      <c r="F278" s="3">
        <f>Results!$O$11</f>
        <v>3</v>
      </c>
      <c r="G278" s="11">
        <v>3</v>
      </c>
      <c r="H278" s="3">
        <f t="shared" si="529"/>
        <v>9</v>
      </c>
      <c r="I278" s="3" t="s">
        <v>105</v>
      </c>
      <c r="J278" s="3">
        <f>Results!$O$16</f>
        <v>4</v>
      </c>
      <c r="K278" s="11">
        <v>2</v>
      </c>
      <c r="L278" s="3">
        <f t="shared" si="530"/>
        <v>8</v>
      </c>
      <c r="M278" s="3" t="s">
        <v>107</v>
      </c>
      <c r="N278" s="3">
        <f>Results!$O$21</f>
        <v>-3</v>
      </c>
      <c r="O278" s="11">
        <v>1</v>
      </c>
      <c r="P278" s="18">
        <f>N278*O278</f>
        <v>-3</v>
      </c>
      <c r="R278" s="3" t="s">
        <v>102</v>
      </c>
      <c r="S278" s="3">
        <f>Results!$O$6</f>
        <v>0</v>
      </c>
      <c r="T278" s="11">
        <v>2</v>
      </c>
      <c r="U278" s="3">
        <f t="shared" si="531"/>
        <v>0</v>
      </c>
      <c r="V278" s="3" t="s">
        <v>12</v>
      </c>
      <c r="W278" s="3">
        <f>Results!$O$11</f>
        <v>3</v>
      </c>
      <c r="X278" s="11">
        <v>2</v>
      </c>
      <c r="Y278" s="3">
        <f t="shared" si="532"/>
        <v>6</v>
      </c>
      <c r="Z278" s="3" t="s">
        <v>105</v>
      </c>
      <c r="AA278" s="3">
        <f>Results!$O$16</f>
        <v>4</v>
      </c>
      <c r="AB278" s="11">
        <v>1</v>
      </c>
      <c r="AC278" s="3">
        <f t="shared" si="533"/>
        <v>4</v>
      </c>
      <c r="AD278" s="3" t="s">
        <v>107</v>
      </c>
      <c r="AE278" s="3">
        <f>Results!$O$21</f>
        <v>-3</v>
      </c>
      <c r="AF278" s="11"/>
      <c r="AG278" s="18">
        <f>AE278*AF278</f>
        <v>0</v>
      </c>
      <c r="AI278" s="3" t="s">
        <v>102</v>
      </c>
      <c r="AJ278" s="3">
        <f>Results!$O$6</f>
        <v>0</v>
      </c>
      <c r="AK278" s="11">
        <v>2</v>
      </c>
      <c r="AL278" s="3">
        <f t="shared" si="534"/>
        <v>0</v>
      </c>
      <c r="AM278" s="3" t="s">
        <v>12</v>
      </c>
      <c r="AN278" s="3">
        <f>Results!$O$11</f>
        <v>3</v>
      </c>
      <c r="AO278" s="11">
        <v>3</v>
      </c>
      <c r="AP278" s="3">
        <f t="shared" si="535"/>
        <v>9</v>
      </c>
      <c r="AQ278" s="3" t="s">
        <v>105</v>
      </c>
      <c r="AR278" s="3">
        <f>Results!$O$16</f>
        <v>4</v>
      </c>
      <c r="AS278" s="11">
        <v>1</v>
      </c>
      <c r="AT278" s="3">
        <f t="shared" si="536"/>
        <v>4</v>
      </c>
      <c r="AU278" s="3" t="s">
        <v>107</v>
      </c>
      <c r="AV278" s="3">
        <f>Results!$O$21</f>
        <v>-3</v>
      </c>
      <c r="AW278" s="11">
        <v>1</v>
      </c>
      <c r="AX278" s="18">
        <f>AV278*AW278</f>
        <v>-3</v>
      </c>
    </row>
    <row r="279" spans="1:50" ht="13.5" customHeight="1" x14ac:dyDescent="0.2">
      <c r="A279" s="14" t="s">
        <v>14</v>
      </c>
      <c r="B279" s="15" t="s">
        <v>51</v>
      </c>
      <c r="C279" s="16" t="s">
        <v>21</v>
      </c>
      <c r="D279" s="15" t="s">
        <v>49</v>
      </c>
      <c r="E279" s="15" t="s">
        <v>15</v>
      </c>
      <c r="F279" s="15" t="s">
        <v>51</v>
      </c>
      <c r="G279" s="16" t="s">
        <v>21</v>
      </c>
      <c r="H279" s="15" t="s">
        <v>49</v>
      </c>
      <c r="I279" s="15" t="s">
        <v>78</v>
      </c>
      <c r="J279" s="15" t="s">
        <v>51</v>
      </c>
      <c r="K279" s="16" t="s">
        <v>21</v>
      </c>
      <c r="L279" s="15" t="s">
        <v>49</v>
      </c>
      <c r="M279" s="15" t="s">
        <v>79</v>
      </c>
      <c r="N279" s="15" t="s">
        <v>51</v>
      </c>
      <c r="O279" s="16" t="s">
        <v>21</v>
      </c>
      <c r="P279" s="15" t="s">
        <v>49</v>
      </c>
      <c r="R279" s="14" t="s">
        <v>14</v>
      </c>
      <c r="S279" s="15" t="s">
        <v>51</v>
      </c>
      <c r="T279" s="16" t="s">
        <v>21</v>
      </c>
      <c r="U279" s="15" t="s">
        <v>49</v>
      </c>
      <c r="V279" s="15" t="s">
        <v>15</v>
      </c>
      <c r="W279" s="15" t="s">
        <v>51</v>
      </c>
      <c r="X279" s="16" t="s">
        <v>21</v>
      </c>
      <c r="Y279" s="15" t="s">
        <v>49</v>
      </c>
      <c r="Z279" s="15" t="s">
        <v>78</v>
      </c>
      <c r="AA279" s="15" t="s">
        <v>51</v>
      </c>
      <c r="AB279" s="16" t="s">
        <v>21</v>
      </c>
      <c r="AC279" s="15" t="s">
        <v>49</v>
      </c>
      <c r="AD279" s="15" t="s">
        <v>79</v>
      </c>
      <c r="AE279" s="15" t="s">
        <v>51</v>
      </c>
      <c r="AF279" s="16" t="s">
        <v>21</v>
      </c>
      <c r="AG279" s="15" t="s">
        <v>49</v>
      </c>
      <c r="AI279" s="14" t="s">
        <v>14</v>
      </c>
      <c r="AJ279" s="15" t="s">
        <v>51</v>
      </c>
      <c r="AK279" s="16" t="s">
        <v>21</v>
      </c>
      <c r="AL279" s="15" t="s">
        <v>49</v>
      </c>
      <c r="AM279" s="15" t="s">
        <v>15</v>
      </c>
      <c r="AN279" s="15" t="s">
        <v>51</v>
      </c>
      <c r="AO279" s="16" t="s">
        <v>21</v>
      </c>
      <c r="AP279" s="15" t="s">
        <v>49</v>
      </c>
      <c r="AQ279" s="15" t="s">
        <v>78</v>
      </c>
      <c r="AR279" s="15" t="s">
        <v>51</v>
      </c>
      <c r="AS279" s="16" t="s">
        <v>21</v>
      </c>
      <c r="AT279" s="15" t="s">
        <v>49</v>
      </c>
      <c r="AU279" s="15" t="s">
        <v>79</v>
      </c>
      <c r="AV279" s="15" t="s">
        <v>51</v>
      </c>
      <c r="AW279" s="16" t="s">
        <v>21</v>
      </c>
      <c r="AX279" s="15" t="s">
        <v>49</v>
      </c>
    </row>
    <row r="280" spans="1:50" ht="13.5" customHeight="1" x14ac:dyDescent="0.2">
      <c r="A280" s="3" t="s">
        <v>11</v>
      </c>
      <c r="B280" s="3">
        <f>Results!$O$23</f>
        <v>18</v>
      </c>
      <c r="C280" s="11">
        <v>5</v>
      </c>
      <c r="D280" s="3">
        <f t="shared" ref="D280:D283" si="537">B280*C280</f>
        <v>90</v>
      </c>
      <c r="E280" s="3" t="s">
        <v>57</v>
      </c>
      <c r="F280" s="3">
        <f>Results!$O$28</f>
        <v>2</v>
      </c>
      <c r="G280" s="11">
        <v>3</v>
      </c>
      <c r="H280" s="3">
        <f t="shared" ref="H280:H283" si="538">F280*G280</f>
        <v>6</v>
      </c>
      <c r="I280" s="3" t="s">
        <v>18</v>
      </c>
      <c r="J280" s="3">
        <f>Results!$O$33</f>
        <v>2</v>
      </c>
      <c r="K280" s="11">
        <v>3</v>
      </c>
      <c r="L280" s="3">
        <f t="shared" ref="L280:L283" si="539">J280*K280</f>
        <v>6</v>
      </c>
      <c r="M280" s="3" t="s">
        <v>17</v>
      </c>
      <c r="N280" s="3">
        <f>Results!$O$38</f>
        <v>2</v>
      </c>
      <c r="O280" s="11">
        <v>3</v>
      </c>
      <c r="P280" s="3">
        <f t="shared" ref="P280:P283" si="540">N280*O280</f>
        <v>6</v>
      </c>
      <c r="R280" s="3" t="s">
        <v>11</v>
      </c>
      <c r="S280" s="3">
        <f>Results!$O$23</f>
        <v>18</v>
      </c>
      <c r="T280" s="11">
        <v>3</v>
      </c>
      <c r="U280" s="3">
        <f t="shared" ref="U280:U283" si="541">S280*T280</f>
        <v>54</v>
      </c>
      <c r="V280" s="3" t="s">
        <v>57</v>
      </c>
      <c r="W280" s="3">
        <f>Results!$O$28</f>
        <v>2</v>
      </c>
      <c r="X280" s="11">
        <v>3</v>
      </c>
      <c r="Y280" s="3">
        <f t="shared" ref="Y280:Y283" si="542">W280*X280</f>
        <v>6</v>
      </c>
      <c r="Z280" s="3" t="s">
        <v>18</v>
      </c>
      <c r="AA280" s="3">
        <f>Results!$O$33</f>
        <v>2</v>
      </c>
      <c r="AB280" s="11">
        <v>3</v>
      </c>
      <c r="AC280" s="3">
        <f t="shared" ref="AC280:AC283" si="543">AA280*AB280</f>
        <v>6</v>
      </c>
      <c r="AD280" s="3" t="s">
        <v>17</v>
      </c>
      <c r="AE280" s="3">
        <f>Results!$O$38</f>
        <v>2</v>
      </c>
      <c r="AF280" s="11">
        <v>3</v>
      </c>
      <c r="AG280" s="3">
        <f t="shared" ref="AG280:AG283" si="544">AE280*AF280</f>
        <v>6</v>
      </c>
      <c r="AI280" s="3" t="s">
        <v>11</v>
      </c>
      <c r="AJ280" s="3">
        <f>Results!$O$23</f>
        <v>18</v>
      </c>
      <c r="AK280" s="11">
        <v>3</v>
      </c>
      <c r="AL280" s="3">
        <f t="shared" ref="AL280:AL283" si="545">AJ280*AK280</f>
        <v>54</v>
      </c>
      <c r="AM280" s="3" t="s">
        <v>57</v>
      </c>
      <c r="AN280" s="3">
        <f>Results!$O$28</f>
        <v>2</v>
      </c>
      <c r="AO280" s="11">
        <v>3</v>
      </c>
      <c r="AP280" s="3">
        <f t="shared" ref="AP280:AP283" si="546">AN280*AO280</f>
        <v>6</v>
      </c>
      <c r="AQ280" s="3" t="s">
        <v>18</v>
      </c>
      <c r="AR280" s="3">
        <f>Results!$O$33</f>
        <v>2</v>
      </c>
      <c r="AS280" s="11">
        <v>3</v>
      </c>
      <c r="AT280" s="3">
        <f t="shared" ref="AT280:AT283" si="547">AR280*AS280</f>
        <v>6</v>
      </c>
      <c r="AU280" s="3" t="s">
        <v>17</v>
      </c>
      <c r="AV280" s="3">
        <f>Results!$O$38</f>
        <v>2</v>
      </c>
      <c r="AW280" s="11">
        <v>3</v>
      </c>
      <c r="AX280" s="3">
        <f t="shared" ref="AX280:AX283" si="548">AV280*AW280</f>
        <v>6</v>
      </c>
    </row>
    <row r="281" spans="1:50" ht="13.5" customHeight="1" x14ac:dyDescent="0.2">
      <c r="A281" s="3" t="s">
        <v>108</v>
      </c>
      <c r="B281" s="3">
        <f>Results!$O$24</f>
        <v>-5</v>
      </c>
      <c r="C281" s="11">
        <v>1</v>
      </c>
      <c r="D281" s="3">
        <f t="shared" si="537"/>
        <v>-5</v>
      </c>
      <c r="E281" s="3" t="s">
        <v>75</v>
      </c>
      <c r="F281" s="3">
        <f>Results!$O$29</f>
        <v>5</v>
      </c>
      <c r="G281" s="11">
        <v>2</v>
      </c>
      <c r="H281" s="3">
        <f t="shared" si="538"/>
        <v>10</v>
      </c>
      <c r="I281" s="3" t="s">
        <v>111</v>
      </c>
      <c r="J281" s="3">
        <f>Results!$O$34</f>
        <v>2</v>
      </c>
      <c r="K281" s="11">
        <v>2</v>
      </c>
      <c r="L281" s="3">
        <f t="shared" si="539"/>
        <v>4</v>
      </c>
      <c r="M281" s="3" t="s">
        <v>113</v>
      </c>
      <c r="N281" s="3">
        <f>Results!$O$39</f>
        <v>2</v>
      </c>
      <c r="O281" s="11"/>
      <c r="P281" s="3">
        <f t="shared" si="540"/>
        <v>0</v>
      </c>
      <c r="R281" s="3" t="s">
        <v>108</v>
      </c>
      <c r="S281" s="3">
        <f>Results!$O$24</f>
        <v>-5</v>
      </c>
      <c r="T281" s="11"/>
      <c r="U281" s="3">
        <f t="shared" si="541"/>
        <v>0</v>
      </c>
      <c r="V281" s="3" t="s">
        <v>75</v>
      </c>
      <c r="W281" s="3">
        <f>Results!$O$29</f>
        <v>5</v>
      </c>
      <c r="X281" s="11">
        <v>2</v>
      </c>
      <c r="Y281" s="3">
        <f t="shared" si="542"/>
        <v>10</v>
      </c>
      <c r="Z281" s="3" t="s">
        <v>111</v>
      </c>
      <c r="AA281" s="3">
        <f>Results!$O$34</f>
        <v>2</v>
      </c>
      <c r="AB281" s="11">
        <v>2</v>
      </c>
      <c r="AC281" s="3">
        <f t="shared" si="543"/>
        <v>4</v>
      </c>
      <c r="AD281" s="3" t="s">
        <v>113</v>
      </c>
      <c r="AE281" s="3">
        <f>Results!$O$39</f>
        <v>2</v>
      </c>
      <c r="AF281" s="11">
        <v>1</v>
      </c>
      <c r="AG281" s="3">
        <f t="shared" si="544"/>
        <v>2</v>
      </c>
      <c r="AI281" s="3" t="s">
        <v>108</v>
      </c>
      <c r="AJ281" s="3">
        <f>Results!$O$24</f>
        <v>-5</v>
      </c>
      <c r="AK281" s="11"/>
      <c r="AL281" s="3">
        <f t="shared" si="545"/>
        <v>0</v>
      </c>
      <c r="AM281" s="3" t="s">
        <v>75</v>
      </c>
      <c r="AN281" s="3">
        <f>Results!$O$29</f>
        <v>5</v>
      </c>
      <c r="AO281" s="11">
        <v>1</v>
      </c>
      <c r="AP281" s="3">
        <f t="shared" si="546"/>
        <v>5</v>
      </c>
      <c r="AQ281" s="3" t="s">
        <v>111</v>
      </c>
      <c r="AR281" s="3">
        <f>Results!$O$34</f>
        <v>2</v>
      </c>
      <c r="AS281" s="11">
        <v>1</v>
      </c>
      <c r="AT281" s="3">
        <f t="shared" si="547"/>
        <v>2</v>
      </c>
      <c r="AU281" s="3" t="s">
        <v>113</v>
      </c>
      <c r="AV281" s="3">
        <f>Results!$O$39</f>
        <v>2</v>
      </c>
      <c r="AW281" s="11"/>
      <c r="AX281" s="3">
        <f t="shared" si="548"/>
        <v>0</v>
      </c>
    </row>
    <row r="282" spans="1:50" ht="13.5" customHeight="1" x14ac:dyDescent="0.2">
      <c r="A282" s="3" t="s">
        <v>109</v>
      </c>
      <c r="B282" s="3">
        <f>Results!$O$25</f>
        <v>4</v>
      </c>
      <c r="C282" s="11">
        <v>3</v>
      </c>
      <c r="D282" s="3">
        <f t="shared" si="537"/>
        <v>12</v>
      </c>
      <c r="E282" s="3" t="s">
        <v>110</v>
      </c>
      <c r="F282" s="3">
        <f>Results!$O$30</f>
        <v>14</v>
      </c>
      <c r="G282" s="11">
        <v>1</v>
      </c>
      <c r="H282" s="3">
        <f t="shared" si="538"/>
        <v>14</v>
      </c>
      <c r="I282" s="3" t="s">
        <v>67</v>
      </c>
      <c r="J282" s="3">
        <f>Results!$O$35</f>
        <v>4</v>
      </c>
      <c r="K282" s="11"/>
      <c r="L282" s="3">
        <f t="shared" si="539"/>
        <v>0</v>
      </c>
      <c r="M282" s="3" t="s">
        <v>70</v>
      </c>
      <c r="N282" s="3">
        <f>Results!$O$40</f>
        <v>3</v>
      </c>
      <c r="O282" s="11">
        <v>1</v>
      </c>
      <c r="P282" s="3">
        <f t="shared" si="540"/>
        <v>3</v>
      </c>
      <c r="R282" s="3" t="s">
        <v>109</v>
      </c>
      <c r="S282" s="3">
        <f>Results!$O$25</f>
        <v>4</v>
      </c>
      <c r="T282" s="11">
        <v>1</v>
      </c>
      <c r="U282" s="3">
        <f t="shared" si="541"/>
        <v>4</v>
      </c>
      <c r="V282" s="3" t="s">
        <v>110</v>
      </c>
      <c r="W282" s="3">
        <f>Results!$O$30</f>
        <v>14</v>
      </c>
      <c r="X282" s="11">
        <v>1</v>
      </c>
      <c r="Y282" s="3">
        <f t="shared" si="542"/>
        <v>14</v>
      </c>
      <c r="Z282" s="3" t="s">
        <v>67</v>
      </c>
      <c r="AA282" s="3">
        <f>Results!$O$35</f>
        <v>4</v>
      </c>
      <c r="AB282" s="11">
        <v>1</v>
      </c>
      <c r="AC282" s="3">
        <f t="shared" si="543"/>
        <v>4</v>
      </c>
      <c r="AD282" s="3" t="s">
        <v>70</v>
      </c>
      <c r="AE282" s="3">
        <f>Results!$O$40</f>
        <v>3</v>
      </c>
      <c r="AF282" s="11"/>
      <c r="AG282" s="3">
        <f t="shared" si="544"/>
        <v>0</v>
      </c>
      <c r="AI282" s="3" t="s">
        <v>109</v>
      </c>
      <c r="AJ282" s="3">
        <f>Results!$O$25</f>
        <v>4</v>
      </c>
      <c r="AK282" s="11">
        <v>1</v>
      </c>
      <c r="AL282" s="3">
        <f t="shared" si="545"/>
        <v>4</v>
      </c>
      <c r="AM282" s="3" t="s">
        <v>110</v>
      </c>
      <c r="AN282" s="3">
        <f>Results!$O$30</f>
        <v>14</v>
      </c>
      <c r="AO282" s="11">
        <v>2</v>
      </c>
      <c r="AP282" s="3">
        <f t="shared" si="546"/>
        <v>28</v>
      </c>
      <c r="AQ282" s="3" t="s">
        <v>67</v>
      </c>
      <c r="AR282" s="3">
        <f>Results!$O$35</f>
        <v>4</v>
      </c>
      <c r="AS282" s="11">
        <v>2</v>
      </c>
      <c r="AT282" s="3">
        <f t="shared" si="547"/>
        <v>8</v>
      </c>
      <c r="AU282" s="3" t="s">
        <v>70</v>
      </c>
      <c r="AV282" s="3">
        <f>Results!$O$40</f>
        <v>3</v>
      </c>
      <c r="AW282" s="11">
        <v>1</v>
      </c>
      <c r="AX282" s="3">
        <f t="shared" si="548"/>
        <v>3</v>
      </c>
    </row>
    <row r="283" spans="1:50" ht="13.5" customHeight="1" x14ac:dyDescent="0.2">
      <c r="A283" s="24" t="s">
        <v>91</v>
      </c>
      <c r="B283" s="24">
        <f>Results!$O$26</f>
        <v>-2</v>
      </c>
      <c r="C283" s="25">
        <v>2</v>
      </c>
      <c r="D283" s="24">
        <f t="shared" si="537"/>
        <v>-4</v>
      </c>
      <c r="E283" s="24" t="s">
        <v>73</v>
      </c>
      <c r="F283" s="24">
        <f>Results!$O$31</f>
        <v>-4</v>
      </c>
      <c r="G283" s="25"/>
      <c r="H283" s="24">
        <f t="shared" si="538"/>
        <v>0</v>
      </c>
      <c r="I283" s="24" t="s">
        <v>112</v>
      </c>
      <c r="J283" s="24">
        <f>Results!$O$36</f>
        <v>5</v>
      </c>
      <c r="K283" s="25">
        <v>1</v>
      </c>
      <c r="L283" s="24">
        <f t="shared" si="539"/>
        <v>5</v>
      </c>
      <c r="M283" s="24" t="s">
        <v>84</v>
      </c>
      <c r="N283" s="24">
        <f>Results!$O$41</f>
        <v>4</v>
      </c>
      <c r="O283" s="25">
        <v>2</v>
      </c>
      <c r="P283" s="24">
        <f t="shared" si="540"/>
        <v>8</v>
      </c>
      <c r="R283" s="24" t="s">
        <v>91</v>
      </c>
      <c r="S283" s="24">
        <f>Results!$O$26</f>
        <v>-2</v>
      </c>
      <c r="T283" s="25">
        <v>2</v>
      </c>
      <c r="U283" s="24">
        <f t="shared" si="541"/>
        <v>-4</v>
      </c>
      <c r="V283" s="24" t="s">
        <v>73</v>
      </c>
      <c r="W283" s="24">
        <f>Results!$O$31</f>
        <v>-4</v>
      </c>
      <c r="X283" s="25"/>
      <c r="Y283" s="24">
        <f t="shared" si="542"/>
        <v>0</v>
      </c>
      <c r="Z283" s="24" t="s">
        <v>112</v>
      </c>
      <c r="AA283" s="24">
        <f>Results!$O$36</f>
        <v>5</v>
      </c>
      <c r="AB283" s="25"/>
      <c r="AC283" s="24">
        <f t="shared" si="543"/>
        <v>0</v>
      </c>
      <c r="AD283" s="24" t="s">
        <v>84</v>
      </c>
      <c r="AE283" s="24">
        <f>Results!$O$41</f>
        <v>4</v>
      </c>
      <c r="AF283" s="25">
        <v>2</v>
      </c>
      <c r="AG283" s="24">
        <f t="shared" si="544"/>
        <v>8</v>
      </c>
      <c r="AI283" s="24" t="s">
        <v>91</v>
      </c>
      <c r="AJ283" s="24">
        <f>Results!$O$26</f>
        <v>-2</v>
      </c>
      <c r="AK283" s="25">
        <v>2</v>
      </c>
      <c r="AL283" s="24">
        <f t="shared" si="545"/>
        <v>-4</v>
      </c>
      <c r="AM283" s="24" t="s">
        <v>73</v>
      </c>
      <c r="AN283" s="24">
        <f>Results!$O$31</f>
        <v>-4</v>
      </c>
      <c r="AO283" s="25"/>
      <c r="AP283" s="24">
        <f t="shared" si="546"/>
        <v>0</v>
      </c>
      <c r="AQ283" s="24" t="s">
        <v>112</v>
      </c>
      <c r="AR283" s="24">
        <f>Results!$O$36</f>
        <v>5</v>
      </c>
      <c r="AS283" s="25"/>
      <c r="AT283" s="24">
        <f t="shared" si="547"/>
        <v>0</v>
      </c>
      <c r="AU283" s="24" t="s">
        <v>84</v>
      </c>
      <c r="AV283" s="24">
        <f>Results!$O$41</f>
        <v>4</v>
      </c>
      <c r="AW283" s="25">
        <v>2</v>
      </c>
      <c r="AX283" s="24">
        <f t="shared" si="548"/>
        <v>8</v>
      </c>
    </row>
    <row r="284" spans="1:50" ht="13.5" customHeight="1" x14ac:dyDescent="0.2">
      <c r="A284" s="14" t="s">
        <v>97</v>
      </c>
      <c r="B284" s="15" t="s">
        <v>51</v>
      </c>
      <c r="C284" s="16" t="s">
        <v>21</v>
      </c>
      <c r="D284" s="15" t="s">
        <v>49</v>
      </c>
      <c r="E284" s="15" t="s">
        <v>98</v>
      </c>
      <c r="F284" s="15" t="s">
        <v>51</v>
      </c>
      <c r="G284" s="16" t="s">
        <v>21</v>
      </c>
      <c r="H284" s="15" t="s">
        <v>49</v>
      </c>
      <c r="I284" s="15" t="s">
        <v>99</v>
      </c>
      <c r="J284" s="15" t="s">
        <v>51</v>
      </c>
      <c r="K284" s="16" t="s">
        <v>21</v>
      </c>
      <c r="L284" s="15" t="s">
        <v>49</v>
      </c>
      <c r="M284" s="15" t="s">
        <v>100</v>
      </c>
      <c r="N284" s="15" t="s">
        <v>51</v>
      </c>
      <c r="O284" s="16" t="s">
        <v>21</v>
      </c>
      <c r="P284" s="15" t="s">
        <v>49</v>
      </c>
      <c r="R284" s="14" t="s">
        <v>97</v>
      </c>
      <c r="S284" s="15" t="s">
        <v>51</v>
      </c>
      <c r="T284" s="16" t="s">
        <v>21</v>
      </c>
      <c r="U284" s="15" t="s">
        <v>49</v>
      </c>
      <c r="V284" s="15" t="s">
        <v>98</v>
      </c>
      <c r="W284" s="15" t="s">
        <v>51</v>
      </c>
      <c r="X284" s="16" t="s">
        <v>21</v>
      </c>
      <c r="Y284" s="15" t="s">
        <v>49</v>
      </c>
      <c r="Z284" s="15" t="s">
        <v>99</v>
      </c>
      <c r="AA284" s="15" t="s">
        <v>51</v>
      </c>
      <c r="AB284" s="16" t="s">
        <v>21</v>
      </c>
      <c r="AC284" s="15" t="s">
        <v>49</v>
      </c>
      <c r="AD284" s="15" t="s">
        <v>100</v>
      </c>
      <c r="AE284" s="15" t="s">
        <v>51</v>
      </c>
      <c r="AF284" s="16" t="s">
        <v>21</v>
      </c>
      <c r="AG284" s="15" t="s">
        <v>49</v>
      </c>
      <c r="AI284" s="14" t="s">
        <v>97</v>
      </c>
      <c r="AJ284" s="15" t="s">
        <v>51</v>
      </c>
      <c r="AK284" s="16" t="s">
        <v>21</v>
      </c>
      <c r="AL284" s="15" t="s">
        <v>49</v>
      </c>
      <c r="AM284" s="15" t="s">
        <v>98</v>
      </c>
      <c r="AN284" s="15" t="s">
        <v>51</v>
      </c>
      <c r="AO284" s="16" t="s">
        <v>21</v>
      </c>
      <c r="AP284" s="15" t="s">
        <v>49</v>
      </c>
      <c r="AQ284" s="15" t="s">
        <v>99</v>
      </c>
      <c r="AR284" s="15" t="s">
        <v>51</v>
      </c>
      <c r="AS284" s="16" t="s">
        <v>21</v>
      </c>
      <c r="AT284" s="15" t="s">
        <v>49</v>
      </c>
      <c r="AU284" s="15" t="s">
        <v>100</v>
      </c>
      <c r="AV284" s="15" t="s">
        <v>51</v>
      </c>
      <c r="AW284" s="16" t="s">
        <v>21</v>
      </c>
      <c r="AX284" s="15" t="s">
        <v>49</v>
      </c>
    </row>
    <row r="285" spans="1:50" ht="13.5" customHeight="1" x14ac:dyDescent="0.2">
      <c r="A285" s="3" t="s">
        <v>8</v>
      </c>
      <c r="B285" s="3">
        <f>Results!$O$43</f>
        <v>10</v>
      </c>
      <c r="C285" s="11">
        <v>3</v>
      </c>
      <c r="D285" s="3">
        <f t="shared" ref="D285:D288" si="549">B285*C285</f>
        <v>30</v>
      </c>
      <c r="E285" s="3" t="s">
        <v>69</v>
      </c>
      <c r="F285" s="3">
        <f>Results!$O$48</f>
        <v>11</v>
      </c>
      <c r="G285" s="11">
        <v>3</v>
      </c>
      <c r="H285" s="3">
        <f t="shared" ref="H285:H288" si="550">F285*G285</f>
        <v>33</v>
      </c>
      <c r="I285" s="3" t="s">
        <v>19</v>
      </c>
      <c r="J285" s="3">
        <f>Results!$O$53</f>
        <v>1</v>
      </c>
      <c r="K285" s="11">
        <v>3</v>
      </c>
      <c r="L285" s="3">
        <f t="shared" ref="L285:L288" si="551">J285*K285</f>
        <v>3</v>
      </c>
      <c r="M285" s="3" t="s">
        <v>10</v>
      </c>
      <c r="N285" s="3">
        <f>Results!$O$58</f>
        <v>11</v>
      </c>
      <c r="O285" s="11">
        <v>3</v>
      </c>
      <c r="P285" s="3">
        <f t="shared" ref="P285:P288" si="552">N285*O285</f>
        <v>33</v>
      </c>
      <c r="R285" s="3" t="s">
        <v>8</v>
      </c>
      <c r="S285" s="3">
        <f>Results!$O$43</f>
        <v>10</v>
      </c>
      <c r="T285" s="11">
        <v>5</v>
      </c>
      <c r="U285" s="3">
        <f t="shared" ref="U285:U288" si="553">S285*T285</f>
        <v>50</v>
      </c>
      <c r="V285" s="3" t="s">
        <v>69</v>
      </c>
      <c r="W285" s="3">
        <f>Results!$O$48</f>
        <v>11</v>
      </c>
      <c r="X285" s="11">
        <v>3</v>
      </c>
      <c r="Y285" s="3">
        <f t="shared" ref="Y285:Y288" si="554">W285*X285</f>
        <v>33</v>
      </c>
      <c r="Z285" s="3" t="s">
        <v>19</v>
      </c>
      <c r="AA285" s="3">
        <f>Results!$O$53</f>
        <v>1</v>
      </c>
      <c r="AB285" s="11">
        <v>3</v>
      </c>
      <c r="AC285" s="3">
        <f t="shared" ref="AC285:AC288" si="555">AA285*AB285</f>
        <v>3</v>
      </c>
      <c r="AD285" s="3" t="s">
        <v>10</v>
      </c>
      <c r="AE285" s="3">
        <f>Results!$O$58</f>
        <v>11</v>
      </c>
      <c r="AF285" s="11">
        <v>3</v>
      </c>
      <c r="AG285" s="3">
        <f t="shared" ref="AG285:AG288" si="556">AE285*AF285</f>
        <v>33</v>
      </c>
      <c r="AI285" s="3" t="s">
        <v>8</v>
      </c>
      <c r="AJ285" s="3">
        <f>Results!$O$43</f>
        <v>10</v>
      </c>
      <c r="AK285" s="11">
        <v>3</v>
      </c>
      <c r="AL285" s="3">
        <f t="shared" ref="AL285:AL288" si="557">AJ285*AK285</f>
        <v>30</v>
      </c>
      <c r="AM285" s="3" t="s">
        <v>69</v>
      </c>
      <c r="AN285" s="3">
        <f>Results!$O$48</f>
        <v>11</v>
      </c>
      <c r="AO285" s="11">
        <v>3</v>
      </c>
      <c r="AP285" s="3">
        <f t="shared" ref="AP285:AP288" si="558">AN285*AO285</f>
        <v>33</v>
      </c>
      <c r="AQ285" s="3" t="s">
        <v>19</v>
      </c>
      <c r="AR285" s="3">
        <f>Results!$O$53</f>
        <v>1</v>
      </c>
      <c r="AS285" s="11">
        <v>5</v>
      </c>
      <c r="AT285" s="3">
        <f t="shared" ref="AT285:AT288" si="559">AR285*AS285</f>
        <v>5</v>
      </c>
      <c r="AU285" s="3" t="s">
        <v>10</v>
      </c>
      <c r="AV285" s="3">
        <f>Results!$O$58</f>
        <v>11</v>
      </c>
      <c r="AW285" s="11">
        <v>3</v>
      </c>
      <c r="AX285" s="3">
        <f t="shared" ref="AX285:AX288" si="560">AV285*AW285</f>
        <v>33</v>
      </c>
    </row>
    <row r="286" spans="1:50" ht="13.5" customHeight="1" x14ac:dyDescent="0.2">
      <c r="A286" s="3" t="s">
        <v>66</v>
      </c>
      <c r="B286" s="3">
        <f>Results!$O$44</f>
        <v>-1</v>
      </c>
      <c r="C286" s="11">
        <v>2</v>
      </c>
      <c r="D286" s="3">
        <f t="shared" si="549"/>
        <v>-2</v>
      </c>
      <c r="E286" s="3" t="s">
        <v>116</v>
      </c>
      <c r="F286" s="3">
        <f>Results!$O$49</f>
        <v>-3</v>
      </c>
      <c r="G286" s="11">
        <v>1</v>
      </c>
      <c r="H286" s="3">
        <f t="shared" si="550"/>
        <v>-3</v>
      </c>
      <c r="I286" s="3" t="s">
        <v>119</v>
      </c>
      <c r="J286" s="3">
        <f>Results!$O$54</f>
        <v>3</v>
      </c>
      <c r="K286" s="11">
        <v>1</v>
      </c>
      <c r="L286" s="3">
        <f t="shared" si="551"/>
        <v>3</v>
      </c>
      <c r="M286" s="3" t="s">
        <v>16</v>
      </c>
      <c r="N286" s="3">
        <f>Results!$O$59</f>
        <v>0</v>
      </c>
      <c r="O286" s="11">
        <v>1</v>
      </c>
      <c r="P286" s="3">
        <f t="shared" si="552"/>
        <v>0</v>
      </c>
      <c r="R286" s="3" t="s">
        <v>66</v>
      </c>
      <c r="S286" s="3">
        <f>Results!$O$44</f>
        <v>-1</v>
      </c>
      <c r="T286" s="11">
        <v>2</v>
      </c>
      <c r="U286" s="3">
        <f t="shared" si="553"/>
        <v>-2</v>
      </c>
      <c r="V286" s="3" t="s">
        <v>116</v>
      </c>
      <c r="W286" s="3">
        <f>Results!$O$49</f>
        <v>-3</v>
      </c>
      <c r="X286" s="11">
        <v>2</v>
      </c>
      <c r="Y286" s="3">
        <f t="shared" si="554"/>
        <v>-6</v>
      </c>
      <c r="Z286" s="3" t="s">
        <v>119</v>
      </c>
      <c r="AA286" s="3">
        <f>Results!$O$54</f>
        <v>3</v>
      </c>
      <c r="AB286" s="11">
        <v>1</v>
      </c>
      <c r="AC286" s="3">
        <f t="shared" si="555"/>
        <v>3</v>
      </c>
      <c r="AD286" s="3" t="s">
        <v>16</v>
      </c>
      <c r="AE286" s="3">
        <f>Results!$O$59</f>
        <v>0</v>
      </c>
      <c r="AF286" s="11">
        <v>2</v>
      </c>
      <c r="AG286" s="3">
        <f t="shared" si="556"/>
        <v>0</v>
      </c>
      <c r="AI286" s="3" t="s">
        <v>66</v>
      </c>
      <c r="AJ286" s="3">
        <f>Results!$O$44</f>
        <v>-1</v>
      </c>
      <c r="AK286" s="11">
        <v>1</v>
      </c>
      <c r="AL286" s="3">
        <f t="shared" si="557"/>
        <v>-1</v>
      </c>
      <c r="AM286" s="3" t="s">
        <v>116</v>
      </c>
      <c r="AN286" s="3">
        <f>Results!$O$49</f>
        <v>-3</v>
      </c>
      <c r="AO286" s="11">
        <v>1</v>
      </c>
      <c r="AP286" s="3">
        <f t="shared" si="558"/>
        <v>-3</v>
      </c>
      <c r="AQ286" s="3" t="s">
        <v>119</v>
      </c>
      <c r="AR286" s="3">
        <f>Results!$O$54</f>
        <v>3</v>
      </c>
      <c r="AS286" s="11">
        <v>2</v>
      </c>
      <c r="AT286" s="3">
        <f t="shared" si="559"/>
        <v>6</v>
      </c>
      <c r="AU286" s="3" t="s">
        <v>16</v>
      </c>
      <c r="AV286" s="3">
        <f>Results!$O$59</f>
        <v>0</v>
      </c>
      <c r="AW286" s="11">
        <v>2</v>
      </c>
      <c r="AX286" s="3">
        <f t="shared" si="560"/>
        <v>0</v>
      </c>
    </row>
    <row r="287" spans="1:50" ht="13.5" customHeight="1" x14ac:dyDescent="0.2">
      <c r="A287" s="3" t="s">
        <v>114</v>
      </c>
      <c r="B287" s="3">
        <f>Results!$O$45</f>
        <v>-3</v>
      </c>
      <c r="C287" s="11"/>
      <c r="D287" s="3">
        <f t="shared" si="549"/>
        <v>0</v>
      </c>
      <c r="E287" s="3" t="s">
        <v>117</v>
      </c>
      <c r="F287" s="3">
        <f>Results!$O$50</f>
        <v>9</v>
      </c>
      <c r="G287" s="11">
        <v>2</v>
      </c>
      <c r="H287" s="3">
        <f t="shared" si="550"/>
        <v>18</v>
      </c>
      <c r="I287" s="3" t="s">
        <v>120</v>
      </c>
      <c r="J287" s="3">
        <f>Results!$O$55</f>
        <v>-2</v>
      </c>
      <c r="K287" s="11"/>
      <c r="L287" s="3">
        <f t="shared" si="551"/>
        <v>0</v>
      </c>
      <c r="M287" s="3" t="s">
        <v>83</v>
      </c>
      <c r="N287" s="3">
        <f>Results!$O$60</f>
        <v>6</v>
      </c>
      <c r="O287" s="11">
        <v>2</v>
      </c>
      <c r="P287" s="3">
        <f t="shared" si="552"/>
        <v>12</v>
      </c>
      <c r="R287" s="3" t="s">
        <v>114</v>
      </c>
      <c r="S287" s="3">
        <f>Results!$O$45</f>
        <v>-3</v>
      </c>
      <c r="T287" s="11">
        <v>1</v>
      </c>
      <c r="U287" s="3">
        <f t="shared" si="553"/>
        <v>-3</v>
      </c>
      <c r="V287" s="3" t="s">
        <v>117</v>
      </c>
      <c r="W287" s="3">
        <f>Results!$O$50</f>
        <v>9</v>
      </c>
      <c r="X287" s="11">
        <v>1</v>
      </c>
      <c r="Y287" s="3">
        <f t="shared" si="554"/>
        <v>9</v>
      </c>
      <c r="Z287" s="3" t="s">
        <v>120</v>
      </c>
      <c r="AA287" s="3">
        <f>Results!$O$55</f>
        <v>-2</v>
      </c>
      <c r="AB287" s="11"/>
      <c r="AC287" s="3">
        <f t="shared" si="555"/>
        <v>0</v>
      </c>
      <c r="AD287" s="3" t="s">
        <v>83</v>
      </c>
      <c r="AE287" s="3">
        <f>Results!$O$60</f>
        <v>6</v>
      </c>
      <c r="AF287" s="11">
        <v>1</v>
      </c>
      <c r="AG287" s="3">
        <f t="shared" si="556"/>
        <v>6</v>
      </c>
      <c r="AI287" s="3" t="s">
        <v>114</v>
      </c>
      <c r="AJ287" s="3">
        <f>Results!$O$45</f>
        <v>-3</v>
      </c>
      <c r="AK287" s="11"/>
      <c r="AL287" s="3">
        <f t="shared" si="557"/>
        <v>0</v>
      </c>
      <c r="AM287" s="3" t="s">
        <v>117</v>
      </c>
      <c r="AN287" s="3">
        <f>Results!$O$50</f>
        <v>9</v>
      </c>
      <c r="AO287" s="11">
        <v>2</v>
      </c>
      <c r="AP287" s="3">
        <f t="shared" si="558"/>
        <v>18</v>
      </c>
      <c r="AQ287" s="3" t="s">
        <v>120</v>
      </c>
      <c r="AR287" s="3">
        <f>Results!$O$55</f>
        <v>-2</v>
      </c>
      <c r="AS287" s="11">
        <v>1</v>
      </c>
      <c r="AT287" s="3">
        <f t="shared" si="559"/>
        <v>-2</v>
      </c>
      <c r="AU287" s="3" t="s">
        <v>83</v>
      </c>
      <c r="AV287" s="3">
        <f>Results!$O$60</f>
        <v>6</v>
      </c>
      <c r="AW287" s="11">
        <v>1</v>
      </c>
      <c r="AX287" s="3">
        <f t="shared" si="560"/>
        <v>6</v>
      </c>
    </row>
    <row r="288" spans="1:50" ht="13.5" customHeight="1" thickBot="1" x14ac:dyDescent="0.25">
      <c r="A288" s="19" t="s">
        <v>115</v>
      </c>
      <c r="B288" s="19">
        <f>Results!$O$46</f>
        <v>12</v>
      </c>
      <c r="C288" s="20">
        <v>1</v>
      </c>
      <c r="D288" s="19">
        <f t="shared" si="549"/>
        <v>12</v>
      </c>
      <c r="E288" s="19" t="s">
        <v>118</v>
      </c>
      <c r="F288" s="19">
        <f>Results!$O$51</f>
        <v>-1</v>
      </c>
      <c r="G288" s="20"/>
      <c r="H288" s="19">
        <f t="shared" si="550"/>
        <v>0</v>
      </c>
      <c r="I288" s="19" t="s">
        <v>121</v>
      </c>
      <c r="J288" s="19">
        <f>Results!$O$56</f>
        <v>9</v>
      </c>
      <c r="K288" s="20">
        <v>2</v>
      </c>
      <c r="L288" s="19">
        <f t="shared" si="551"/>
        <v>18</v>
      </c>
      <c r="M288" s="19" t="s">
        <v>122</v>
      </c>
      <c r="N288" s="19">
        <f>Results!$O$61</f>
        <v>-3</v>
      </c>
      <c r="O288" s="20"/>
      <c r="P288" s="19">
        <f t="shared" si="552"/>
        <v>0</v>
      </c>
      <c r="R288" s="19" t="s">
        <v>115</v>
      </c>
      <c r="S288" s="19">
        <f>Results!$O$46</f>
        <v>12</v>
      </c>
      <c r="T288" s="20">
        <v>3</v>
      </c>
      <c r="U288" s="19">
        <f t="shared" si="553"/>
        <v>36</v>
      </c>
      <c r="V288" s="19" t="s">
        <v>118</v>
      </c>
      <c r="W288" s="19">
        <f>Results!$O$51</f>
        <v>-1</v>
      </c>
      <c r="X288" s="20"/>
      <c r="Y288" s="19">
        <f t="shared" si="554"/>
        <v>0</v>
      </c>
      <c r="Z288" s="19" t="s">
        <v>121</v>
      </c>
      <c r="AA288" s="19">
        <f>Results!$O$56</f>
        <v>9</v>
      </c>
      <c r="AB288" s="20">
        <v>2</v>
      </c>
      <c r="AC288" s="19">
        <f t="shared" si="555"/>
        <v>18</v>
      </c>
      <c r="AD288" s="19" t="s">
        <v>122</v>
      </c>
      <c r="AE288" s="19">
        <f>Results!$O$61</f>
        <v>-3</v>
      </c>
      <c r="AF288" s="20"/>
      <c r="AG288" s="19">
        <f t="shared" si="556"/>
        <v>0</v>
      </c>
      <c r="AI288" s="19" t="s">
        <v>115</v>
      </c>
      <c r="AJ288" s="19">
        <f>Results!$O$46</f>
        <v>12</v>
      </c>
      <c r="AK288" s="20">
        <v>2</v>
      </c>
      <c r="AL288" s="19">
        <f t="shared" si="557"/>
        <v>24</v>
      </c>
      <c r="AM288" s="19" t="s">
        <v>118</v>
      </c>
      <c r="AN288" s="19">
        <f>Results!$O$51</f>
        <v>-1</v>
      </c>
      <c r="AO288" s="20"/>
      <c r="AP288" s="19">
        <f t="shared" si="558"/>
        <v>0</v>
      </c>
      <c r="AQ288" s="19" t="s">
        <v>121</v>
      </c>
      <c r="AR288" s="19">
        <f>Results!$O$56</f>
        <v>9</v>
      </c>
      <c r="AS288" s="20">
        <v>3</v>
      </c>
      <c r="AT288" s="19">
        <f t="shared" si="559"/>
        <v>27</v>
      </c>
      <c r="AU288" s="19" t="s">
        <v>122</v>
      </c>
      <c r="AV288" s="19">
        <f>Results!$O$61</f>
        <v>-3</v>
      </c>
      <c r="AW288" s="20"/>
      <c r="AX288" s="19">
        <f t="shared" si="560"/>
        <v>0</v>
      </c>
    </row>
    <row r="289" spans="1:50" ht="13.5" customHeight="1" thickBot="1" x14ac:dyDescent="0.25">
      <c r="A289" s="35"/>
      <c r="B289" s="36"/>
      <c r="C289" s="37"/>
      <c r="D289" s="36"/>
      <c r="E289" s="36"/>
      <c r="F289" s="36"/>
      <c r="G289" s="37"/>
      <c r="H289" s="36"/>
      <c r="I289" s="36"/>
      <c r="J289" s="36"/>
      <c r="K289" s="37"/>
      <c r="L289" s="36"/>
      <c r="M289" s="36"/>
      <c r="N289" s="36"/>
      <c r="O289" s="37"/>
      <c r="P289" s="36"/>
      <c r="R289" s="35"/>
      <c r="S289" s="36"/>
      <c r="T289" s="37"/>
      <c r="U289" s="36"/>
      <c r="V289" s="36"/>
      <c r="W289" s="36"/>
      <c r="X289" s="37"/>
      <c r="Y289" s="36"/>
      <c r="Z289" s="36"/>
      <c r="AA289" s="36"/>
      <c r="AB289" s="37"/>
      <c r="AC289" s="36"/>
      <c r="AD289" s="36"/>
      <c r="AE289" s="36"/>
      <c r="AF289" s="37"/>
      <c r="AG289" s="36"/>
      <c r="AI289" s="35"/>
      <c r="AJ289" s="36"/>
      <c r="AK289" s="37"/>
      <c r="AL289" s="36"/>
      <c r="AM289" s="36"/>
      <c r="AN289" s="36"/>
      <c r="AO289" s="37"/>
      <c r="AP289" s="36"/>
      <c r="AQ289" s="36"/>
      <c r="AR289" s="36"/>
      <c r="AS289" s="37"/>
      <c r="AT289" s="36"/>
      <c r="AU289" s="36"/>
      <c r="AV289" s="36"/>
      <c r="AW289" s="37"/>
      <c r="AX289" s="36"/>
    </row>
    <row r="290" spans="1:50" ht="13.5" customHeight="1" x14ac:dyDescent="0.2">
      <c r="A290" s="12" t="s">
        <v>0</v>
      </c>
      <c r="B290" s="59" t="s">
        <v>166</v>
      </c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13" t="s">
        <v>50</v>
      </c>
      <c r="N290" s="61">
        <f>SUM(D292:D295,D297:D300,H292:H295, H297:H300,L292:L295,L297:L300,P292:P295,P297:P300,D302:D305,H302:H305,L302:L305,P302:P305)</f>
        <v>367</v>
      </c>
      <c r="O290" s="61"/>
      <c r="P290" s="66"/>
      <c r="R290" s="12" t="s">
        <v>0</v>
      </c>
      <c r="S290" s="59" t="s">
        <v>168</v>
      </c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13" t="s">
        <v>50</v>
      </c>
      <c r="AE290" s="61">
        <f>SUM(U292:U295,U297:U300,Y292:Y295, Y297:Y300,AC292:AC295,AC297:AC300,AG292:AG295,AG297:AG300,U302:U305,Y302:Y305,AC302:AC305,AG302:AG305)</f>
        <v>367</v>
      </c>
      <c r="AF290" s="61"/>
      <c r="AG290" s="66"/>
      <c r="AI290" s="12" t="s">
        <v>0</v>
      </c>
      <c r="AJ290" s="59" t="s">
        <v>169</v>
      </c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13" t="s">
        <v>50</v>
      </c>
      <c r="AV290" s="61">
        <f>SUM(AL292:AL295,AL297:AL300,AP292:AP295, AP297:AP300,AT292:AT295,AT297:AT300,AX292:AX295,AX297:AX300,AL302:AL305,AP302:AP305,AT302:AT305,AX302:AX305)</f>
        <v>371</v>
      </c>
      <c r="AW290" s="61"/>
      <c r="AX290" s="66"/>
    </row>
    <row r="291" spans="1:50" ht="13.5" customHeight="1" x14ac:dyDescent="0.2">
      <c r="A291" s="14" t="s">
        <v>3</v>
      </c>
      <c r="B291" s="15" t="s">
        <v>51</v>
      </c>
      <c r="C291" s="16" t="s">
        <v>21</v>
      </c>
      <c r="D291" s="15" t="s">
        <v>49</v>
      </c>
      <c r="E291" s="15" t="s">
        <v>6</v>
      </c>
      <c r="F291" s="15" t="s">
        <v>51</v>
      </c>
      <c r="G291" s="16" t="s">
        <v>21</v>
      </c>
      <c r="H291" s="15" t="s">
        <v>49</v>
      </c>
      <c r="I291" s="15" t="s">
        <v>7</v>
      </c>
      <c r="J291" s="15" t="s">
        <v>51</v>
      </c>
      <c r="K291" s="16" t="s">
        <v>21</v>
      </c>
      <c r="L291" s="15" t="s">
        <v>49</v>
      </c>
      <c r="M291" s="15" t="s">
        <v>13</v>
      </c>
      <c r="N291" s="15" t="s">
        <v>51</v>
      </c>
      <c r="O291" s="16" t="s">
        <v>21</v>
      </c>
      <c r="P291" s="17" t="s">
        <v>49</v>
      </c>
      <c r="R291" s="14" t="s">
        <v>3</v>
      </c>
      <c r="S291" s="15" t="s">
        <v>51</v>
      </c>
      <c r="T291" s="16" t="s">
        <v>21</v>
      </c>
      <c r="U291" s="15" t="s">
        <v>49</v>
      </c>
      <c r="V291" s="15" t="s">
        <v>6</v>
      </c>
      <c r="W291" s="15" t="s">
        <v>51</v>
      </c>
      <c r="X291" s="16" t="s">
        <v>21</v>
      </c>
      <c r="Y291" s="15" t="s">
        <v>49</v>
      </c>
      <c r="Z291" s="15" t="s">
        <v>7</v>
      </c>
      <c r="AA291" s="15" t="s">
        <v>51</v>
      </c>
      <c r="AB291" s="16" t="s">
        <v>21</v>
      </c>
      <c r="AC291" s="15" t="s">
        <v>49</v>
      </c>
      <c r="AD291" s="15" t="s">
        <v>13</v>
      </c>
      <c r="AE291" s="15" t="s">
        <v>51</v>
      </c>
      <c r="AF291" s="16" t="s">
        <v>21</v>
      </c>
      <c r="AG291" s="17" t="s">
        <v>49</v>
      </c>
      <c r="AI291" s="14" t="s">
        <v>3</v>
      </c>
      <c r="AJ291" s="15" t="s">
        <v>51</v>
      </c>
      <c r="AK291" s="16" t="s">
        <v>21</v>
      </c>
      <c r="AL291" s="15" t="s">
        <v>49</v>
      </c>
      <c r="AM291" s="15" t="s">
        <v>6</v>
      </c>
      <c r="AN291" s="15" t="s">
        <v>51</v>
      </c>
      <c r="AO291" s="16" t="s">
        <v>21</v>
      </c>
      <c r="AP291" s="15" t="s">
        <v>49</v>
      </c>
      <c r="AQ291" s="15" t="s">
        <v>7</v>
      </c>
      <c r="AR291" s="15" t="s">
        <v>51</v>
      </c>
      <c r="AS291" s="16" t="s">
        <v>21</v>
      </c>
      <c r="AT291" s="15" t="s">
        <v>49</v>
      </c>
      <c r="AU291" s="15" t="s">
        <v>13</v>
      </c>
      <c r="AV291" s="15" t="s">
        <v>51</v>
      </c>
      <c r="AW291" s="16" t="s">
        <v>21</v>
      </c>
      <c r="AX291" s="17" t="s">
        <v>49</v>
      </c>
    </row>
    <row r="292" spans="1:50" ht="13.5" customHeight="1" x14ac:dyDescent="0.2">
      <c r="A292" s="3" t="s">
        <v>71</v>
      </c>
      <c r="B292" s="3">
        <f>Results!$O$3</f>
        <v>3</v>
      </c>
      <c r="C292" s="11">
        <v>3</v>
      </c>
      <c r="D292" s="3">
        <f t="shared" ref="D292:D295" si="561">B292*C292</f>
        <v>9</v>
      </c>
      <c r="E292" s="3" t="s">
        <v>76</v>
      </c>
      <c r="F292" s="3">
        <f>Results!$O$8</f>
        <v>2</v>
      </c>
      <c r="G292" s="11">
        <v>1</v>
      </c>
      <c r="H292" s="3">
        <f t="shared" ref="H292:H295" si="562">F292*G292</f>
        <v>2</v>
      </c>
      <c r="I292" s="3" t="s">
        <v>80</v>
      </c>
      <c r="J292" s="3">
        <f>Results!$O$13</f>
        <v>2</v>
      </c>
      <c r="K292" s="11">
        <v>3</v>
      </c>
      <c r="L292" s="3">
        <f t="shared" ref="L292:L295" si="563">J292*K292</f>
        <v>6</v>
      </c>
      <c r="M292" s="3" t="s">
        <v>68</v>
      </c>
      <c r="N292" s="3">
        <f>Results!$O$18</f>
        <v>11</v>
      </c>
      <c r="O292" s="11">
        <v>1</v>
      </c>
      <c r="P292" s="18">
        <f>N292*O292</f>
        <v>11</v>
      </c>
      <c r="R292" s="3" t="s">
        <v>71</v>
      </c>
      <c r="S292" s="3">
        <f>Results!$O$3</f>
        <v>3</v>
      </c>
      <c r="T292" s="11">
        <v>3</v>
      </c>
      <c r="U292" s="3">
        <f t="shared" ref="U292:U295" si="564">S292*T292</f>
        <v>9</v>
      </c>
      <c r="V292" s="3" t="s">
        <v>76</v>
      </c>
      <c r="W292" s="3">
        <f>Results!$O$8</f>
        <v>2</v>
      </c>
      <c r="X292" s="11">
        <v>3</v>
      </c>
      <c r="Y292" s="3">
        <f t="shared" ref="Y292:Y295" si="565">W292*X292</f>
        <v>6</v>
      </c>
      <c r="Z292" s="3" t="s">
        <v>80</v>
      </c>
      <c r="AA292" s="3">
        <f>Results!$O$13</f>
        <v>2</v>
      </c>
      <c r="AB292" s="11">
        <v>5</v>
      </c>
      <c r="AC292" s="3">
        <f t="shared" ref="AC292:AC295" si="566">AA292*AB292</f>
        <v>10</v>
      </c>
      <c r="AD292" s="3" t="s">
        <v>68</v>
      </c>
      <c r="AE292" s="3">
        <f>Results!$O$18</f>
        <v>11</v>
      </c>
      <c r="AF292" s="11">
        <v>2</v>
      </c>
      <c r="AG292" s="18">
        <f>AE292*AF292</f>
        <v>22</v>
      </c>
      <c r="AI292" s="3" t="s">
        <v>71</v>
      </c>
      <c r="AJ292" s="3">
        <f>Results!$O$3</f>
        <v>3</v>
      </c>
      <c r="AK292" s="11">
        <v>3</v>
      </c>
      <c r="AL292" s="3">
        <f t="shared" ref="AL292:AL295" si="567">AJ292*AK292</f>
        <v>9</v>
      </c>
      <c r="AM292" s="3" t="s">
        <v>76</v>
      </c>
      <c r="AN292" s="3">
        <f>Results!$O$8</f>
        <v>2</v>
      </c>
      <c r="AO292" s="11">
        <v>2</v>
      </c>
      <c r="AP292" s="3">
        <f t="shared" ref="AP292:AP295" si="568">AN292*AO292</f>
        <v>4</v>
      </c>
      <c r="AQ292" s="3" t="s">
        <v>80</v>
      </c>
      <c r="AR292" s="3">
        <f>Results!$O$13</f>
        <v>2</v>
      </c>
      <c r="AS292" s="11">
        <v>3</v>
      </c>
      <c r="AT292" s="3">
        <f t="shared" ref="AT292:AT295" si="569">AR292*AS292</f>
        <v>6</v>
      </c>
      <c r="AU292" s="3" t="s">
        <v>68</v>
      </c>
      <c r="AV292" s="3">
        <f>Results!$O$18</f>
        <v>11</v>
      </c>
      <c r="AW292" s="11">
        <v>2</v>
      </c>
      <c r="AX292" s="18">
        <f>AV292*AW292</f>
        <v>22</v>
      </c>
    </row>
    <row r="293" spans="1:50" ht="13.5" customHeight="1" x14ac:dyDescent="0.2">
      <c r="A293" s="3" t="s">
        <v>123</v>
      </c>
      <c r="B293" s="3">
        <f>Results!$O$4</f>
        <v>-14</v>
      </c>
      <c r="C293" s="11"/>
      <c r="D293" s="3">
        <f t="shared" si="561"/>
        <v>0</v>
      </c>
      <c r="E293" s="3" t="s">
        <v>103</v>
      </c>
      <c r="F293" s="3">
        <f>Results!$O$9</f>
        <v>1</v>
      </c>
      <c r="G293" s="11">
        <v>2</v>
      </c>
      <c r="H293" s="3">
        <f t="shared" si="562"/>
        <v>2</v>
      </c>
      <c r="I293" s="3" t="s">
        <v>77</v>
      </c>
      <c r="J293" s="3">
        <f>Results!$O$14</f>
        <v>4</v>
      </c>
      <c r="K293" s="11">
        <v>2</v>
      </c>
      <c r="L293" s="3">
        <f t="shared" si="563"/>
        <v>8</v>
      </c>
      <c r="M293" s="3" t="s">
        <v>106</v>
      </c>
      <c r="N293" s="3">
        <f>Results!$O$19</f>
        <v>-7</v>
      </c>
      <c r="O293" s="11"/>
      <c r="P293" s="18">
        <f>N293*O293</f>
        <v>0</v>
      </c>
      <c r="R293" s="3" t="s">
        <v>123</v>
      </c>
      <c r="S293" s="3">
        <f>Results!$O$4</f>
        <v>-14</v>
      </c>
      <c r="T293" s="11"/>
      <c r="U293" s="3">
        <f t="shared" si="564"/>
        <v>0</v>
      </c>
      <c r="V293" s="3" t="s">
        <v>103</v>
      </c>
      <c r="W293" s="3">
        <f>Results!$O$9</f>
        <v>1</v>
      </c>
      <c r="X293" s="11">
        <v>1</v>
      </c>
      <c r="Y293" s="3">
        <f t="shared" si="565"/>
        <v>1</v>
      </c>
      <c r="Z293" s="3" t="s">
        <v>77</v>
      </c>
      <c r="AA293" s="3">
        <f>Results!$O$14</f>
        <v>4</v>
      </c>
      <c r="AB293" s="11">
        <v>2</v>
      </c>
      <c r="AC293" s="3">
        <f t="shared" si="566"/>
        <v>8</v>
      </c>
      <c r="AD293" s="3" t="s">
        <v>106</v>
      </c>
      <c r="AE293" s="3">
        <f>Results!$O$19</f>
        <v>-7</v>
      </c>
      <c r="AF293" s="11"/>
      <c r="AG293" s="18">
        <f>AE293*AF293</f>
        <v>0</v>
      </c>
      <c r="AI293" s="3" t="s">
        <v>123</v>
      </c>
      <c r="AJ293" s="3">
        <f>Results!$O$4</f>
        <v>-14</v>
      </c>
      <c r="AK293" s="11"/>
      <c r="AL293" s="3">
        <f t="shared" si="567"/>
        <v>0</v>
      </c>
      <c r="AM293" s="3" t="s">
        <v>103</v>
      </c>
      <c r="AN293" s="3">
        <f>Results!$O$9</f>
        <v>1</v>
      </c>
      <c r="AO293" s="11"/>
      <c r="AP293" s="3">
        <f t="shared" si="568"/>
        <v>0</v>
      </c>
      <c r="AQ293" s="3" t="s">
        <v>77</v>
      </c>
      <c r="AR293" s="3">
        <f>Results!$O$14</f>
        <v>4</v>
      </c>
      <c r="AS293" s="11">
        <v>2</v>
      </c>
      <c r="AT293" s="3">
        <f t="shared" si="569"/>
        <v>8</v>
      </c>
      <c r="AU293" s="3" t="s">
        <v>106</v>
      </c>
      <c r="AV293" s="3">
        <f>Results!$O$19</f>
        <v>-7</v>
      </c>
      <c r="AW293" s="11">
        <v>1</v>
      </c>
      <c r="AX293" s="18">
        <f>AV293*AW293</f>
        <v>-7</v>
      </c>
    </row>
    <row r="294" spans="1:50" ht="13.5" customHeight="1" x14ac:dyDescent="0.2">
      <c r="A294" s="3" t="s">
        <v>124</v>
      </c>
      <c r="B294" s="3">
        <f>Results!$O$5</f>
        <v>7</v>
      </c>
      <c r="C294" s="11">
        <v>2</v>
      </c>
      <c r="D294" s="3">
        <f t="shared" si="561"/>
        <v>14</v>
      </c>
      <c r="E294" s="3" t="s">
        <v>65</v>
      </c>
      <c r="F294" s="3">
        <f>Results!$O$10</f>
        <v>2</v>
      </c>
      <c r="G294" s="11"/>
      <c r="H294" s="3">
        <f t="shared" si="562"/>
        <v>0</v>
      </c>
      <c r="I294" s="3" t="s">
        <v>104</v>
      </c>
      <c r="J294" s="3">
        <f>Results!$O$15</f>
        <v>-2</v>
      </c>
      <c r="K294" s="11"/>
      <c r="L294" s="3">
        <f t="shared" si="563"/>
        <v>0</v>
      </c>
      <c r="M294" s="3" t="s">
        <v>72</v>
      </c>
      <c r="N294" s="3">
        <f>Results!$O$20</f>
        <v>9</v>
      </c>
      <c r="O294" s="11">
        <v>2</v>
      </c>
      <c r="P294" s="18">
        <f>N294*O294</f>
        <v>18</v>
      </c>
      <c r="R294" s="3" t="s">
        <v>124</v>
      </c>
      <c r="S294" s="3">
        <f>Results!$O$5</f>
        <v>7</v>
      </c>
      <c r="T294" s="11">
        <v>2</v>
      </c>
      <c r="U294" s="3">
        <f t="shared" si="564"/>
        <v>14</v>
      </c>
      <c r="V294" s="3" t="s">
        <v>65</v>
      </c>
      <c r="W294" s="3">
        <f>Results!$O$10</f>
        <v>2</v>
      </c>
      <c r="X294" s="11"/>
      <c r="Y294" s="3">
        <f t="shared" si="565"/>
        <v>0</v>
      </c>
      <c r="Z294" s="3" t="s">
        <v>104</v>
      </c>
      <c r="AA294" s="3">
        <f>Results!$O$15</f>
        <v>-2</v>
      </c>
      <c r="AB294" s="11">
        <v>1</v>
      </c>
      <c r="AC294" s="3">
        <f t="shared" si="566"/>
        <v>-2</v>
      </c>
      <c r="AD294" s="3" t="s">
        <v>72</v>
      </c>
      <c r="AE294" s="3">
        <f>Results!$O$20</f>
        <v>9</v>
      </c>
      <c r="AF294" s="11">
        <v>1</v>
      </c>
      <c r="AG294" s="18">
        <f>AE294*AF294</f>
        <v>9</v>
      </c>
      <c r="AI294" s="3" t="s">
        <v>124</v>
      </c>
      <c r="AJ294" s="3">
        <f>Results!$O$5</f>
        <v>7</v>
      </c>
      <c r="AK294" s="11">
        <v>1</v>
      </c>
      <c r="AL294" s="3">
        <f t="shared" si="567"/>
        <v>7</v>
      </c>
      <c r="AM294" s="3" t="s">
        <v>65</v>
      </c>
      <c r="AN294" s="3">
        <f>Results!$O$10</f>
        <v>2</v>
      </c>
      <c r="AO294" s="11">
        <v>1</v>
      </c>
      <c r="AP294" s="3">
        <f t="shared" si="568"/>
        <v>2</v>
      </c>
      <c r="AQ294" s="3" t="s">
        <v>104</v>
      </c>
      <c r="AR294" s="3">
        <f>Results!$O$15</f>
        <v>-2</v>
      </c>
      <c r="AS294" s="11"/>
      <c r="AT294" s="3">
        <f t="shared" si="569"/>
        <v>0</v>
      </c>
      <c r="AU294" s="3" t="s">
        <v>72</v>
      </c>
      <c r="AV294" s="3">
        <f>Results!$O$20</f>
        <v>9</v>
      </c>
      <c r="AW294" s="11"/>
      <c r="AX294" s="18">
        <f>AV294*AW294</f>
        <v>0</v>
      </c>
    </row>
    <row r="295" spans="1:50" ht="13.5" customHeight="1" x14ac:dyDescent="0.2">
      <c r="A295" s="3" t="s">
        <v>102</v>
      </c>
      <c r="B295" s="3">
        <f>Results!$O$6</f>
        <v>0</v>
      </c>
      <c r="C295" s="11">
        <v>1</v>
      </c>
      <c r="D295" s="3">
        <f t="shared" si="561"/>
        <v>0</v>
      </c>
      <c r="E295" s="3" t="s">
        <v>12</v>
      </c>
      <c r="F295" s="3">
        <f>Results!$O$11</f>
        <v>3</v>
      </c>
      <c r="G295" s="11">
        <v>3</v>
      </c>
      <c r="H295" s="3">
        <f t="shared" si="562"/>
        <v>9</v>
      </c>
      <c r="I295" s="3" t="s">
        <v>105</v>
      </c>
      <c r="J295" s="3">
        <f>Results!$O$16</f>
        <v>4</v>
      </c>
      <c r="K295" s="11">
        <v>1</v>
      </c>
      <c r="L295" s="3">
        <f t="shared" si="563"/>
        <v>4</v>
      </c>
      <c r="M295" s="3" t="s">
        <v>107</v>
      </c>
      <c r="N295" s="3">
        <f>Results!$O$21</f>
        <v>-3</v>
      </c>
      <c r="O295" s="11">
        <v>3</v>
      </c>
      <c r="P295" s="18">
        <f>N295*O295</f>
        <v>-9</v>
      </c>
      <c r="R295" s="3" t="s">
        <v>102</v>
      </c>
      <c r="S295" s="3">
        <f>Results!$O$6</f>
        <v>0</v>
      </c>
      <c r="T295" s="11">
        <v>1</v>
      </c>
      <c r="U295" s="3">
        <f t="shared" si="564"/>
        <v>0</v>
      </c>
      <c r="V295" s="3" t="s">
        <v>12</v>
      </c>
      <c r="W295" s="3">
        <f>Results!$O$11</f>
        <v>3</v>
      </c>
      <c r="X295" s="11">
        <v>2</v>
      </c>
      <c r="Y295" s="3">
        <f t="shared" si="565"/>
        <v>6</v>
      </c>
      <c r="Z295" s="3" t="s">
        <v>105</v>
      </c>
      <c r="AA295" s="3">
        <f>Results!$O$16</f>
        <v>4</v>
      </c>
      <c r="AB295" s="11">
        <v>3</v>
      </c>
      <c r="AC295" s="3">
        <f t="shared" si="566"/>
        <v>12</v>
      </c>
      <c r="AD295" s="3" t="s">
        <v>107</v>
      </c>
      <c r="AE295" s="3">
        <f>Results!$O$21</f>
        <v>-3</v>
      </c>
      <c r="AF295" s="11">
        <v>3</v>
      </c>
      <c r="AG295" s="18">
        <f>AE295*AF295</f>
        <v>-9</v>
      </c>
      <c r="AI295" s="3" t="s">
        <v>102</v>
      </c>
      <c r="AJ295" s="3">
        <f>Results!$O$6</f>
        <v>0</v>
      </c>
      <c r="AK295" s="11">
        <v>2</v>
      </c>
      <c r="AL295" s="3">
        <f t="shared" si="567"/>
        <v>0</v>
      </c>
      <c r="AM295" s="3" t="s">
        <v>12</v>
      </c>
      <c r="AN295" s="3">
        <f>Results!$O$11</f>
        <v>3</v>
      </c>
      <c r="AO295" s="11">
        <v>3</v>
      </c>
      <c r="AP295" s="3">
        <f t="shared" si="568"/>
        <v>9</v>
      </c>
      <c r="AQ295" s="3" t="s">
        <v>105</v>
      </c>
      <c r="AR295" s="3">
        <f>Results!$O$16</f>
        <v>4</v>
      </c>
      <c r="AS295" s="11">
        <v>1</v>
      </c>
      <c r="AT295" s="3">
        <f t="shared" si="569"/>
        <v>4</v>
      </c>
      <c r="AU295" s="3" t="s">
        <v>107</v>
      </c>
      <c r="AV295" s="3">
        <f>Results!$O$21</f>
        <v>-3</v>
      </c>
      <c r="AW295" s="11">
        <v>3</v>
      </c>
      <c r="AX295" s="18">
        <f>AV295*AW295</f>
        <v>-9</v>
      </c>
    </row>
    <row r="296" spans="1:50" ht="13.5" customHeight="1" x14ac:dyDescent="0.2">
      <c r="A296" s="14" t="s">
        <v>14</v>
      </c>
      <c r="B296" s="15" t="s">
        <v>51</v>
      </c>
      <c r="C296" s="16" t="s">
        <v>21</v>
      </c>
      <c r="D296" s="15" t="s">
        <v>49</v>
      </c>
      <c r="E296" s="15" t="s">
        <v>15</v>
      </c>
      <c r="F296" s="15" t="s">
        <v>51</v>
      </c>
      <c r="G296" s="16" t="s">
        <v>21</v>
      </c>
      <c r="H296" s="15" t="s">
        <v>49</v>
      </c>
      <c r="I296" s="15" t="s">
        <v>78</v>
      </c>
      <c r="J296" s="15" t="s">
        <v>51</v>
      </c>
      <c r="K296" s="16" t="s">
        <v>21</v>
      </c>
      <c r="L296" s="15" t="s">
        <v>49</v>
      </c>
      <c r="M296" s="15" t="s">
        <v>79</v>
      </c>
      <c r="N296" s="15" t="s">
        <v>51</v>
      </c>
      <c r="O296" s="16" t="s">
        <v>21</v>
      </c>
      <c r="P296" s="15" t="s">
        <v>49</v>
      </c>
      <c r="R296" s="14" t="s">
        <v>14</v>
      </c>
      <c r="S296" s="15" t="s">
        <v>51</v>
      </c>
      <c r="T296" s="16" t="s">
        <v>21</v>
      </c>
      <c r="U296" s="15" t="s">
        <v>49</v>
      </c>
      <c r="V296" s="15" t="s">
        <v>15</v>
      </c>
      <c r="W296" s="15" t="s">
        <v>51</v>
      </c>
      <c r="X296" s="16" t="s">
        <v>21</v>
      </c>
      <c r="Y296" s="15" t="s">
        <v>49</v>
      </c>
      <c r="Z296" s="15" t="s">
        <v>78</v>
      </c>
      <c r="AA296" s="15" t="s">
        <v>51</v>
      </c>
      <c r="AB296" s="16" t="s">
        <v>21</v>
      </c>
      <c r="AC296" s="15" t="s">
        <v>49</v>
      </c>
      <c r="AD296" s="15" t="s">
        <v>79</v>
      </c>
      <c r="AE296" s="15" t="s">
        <v>51</v>
      </c>
      <c r="AF296" s="16" t="s">
        <v>21</v>
      </c>
      <c r="AG296" s="15" t="s">
        <v>49</v>
      </c>
      <c r="AI296" s="14" t="s">
        <v>14</v>
      </c>
      <c r="AJ296" s="15" t="s">
        <v>51</v>
      </c>
      <c r="AK296" s="16" t="s">
        <v>21</v>
      </c>
      <c r="AL296" s="15" t="s">
        <v>49</v>
      </c>
      <c r="AM296" s="15" t="s">
        <v>15</v>
      </c>
      <c r="AN296" s="15" t="s">
        <v>51</v>
      </c>
      <c r="AO296" s="16" t="s">
        <v>21</v>
      </c>
      <c r="AP296" s="15" t="s">
        <v>49</v>
      </c>
      <c r="AQ296" s="15" t="s">
        <v>78</v>
      </c>
      <c r="AR296" s="15" t="s">
        <v>51</v>
      </c>
      <c r="AS296" s="16" t="s">
        <v>21</v>
      </c>
      <c r="AT296" s="15" t="s">
        <v>49</v>
      </c>
      <c r="AU296" s="15" t="s">
        <v>79</v>
      </c>
      <c r="AV296" s="15" t="s">
        <v>51</v>
      </c>
      <c r="AW296" s="16" t="s">
        <v>21</v>
      </c>
      <c r="AX296" s="15" t="s">
        <v>49</v>
      </c>
    </row>
    <row r="297" spans="1:50" ht="13.5" customHeight="1" x14ac:dyDescent="0.2">
      <c r="A297" s="3" t="s">
        <v>11</v>
      </c>
      <c r="B297" s="3">
        <f>Results!$O$23</f>
        <v>18</v>
      </c>
      <c r="C297" s="11">
        <v>3</v>
      </c>
      <c r="D297" s="3">
        <f t="shared" ref="D297:D300" si="570">B297*C297</f>
        <v>54</v>
      </c>
      <c r="E297" s="3" t="s">
        <v>57</v>
      </c>
      <c r="F297" s="3">
        <f>Results!$O$28</f>
        <v>2</v>
      </c>
      <c r="G297" s="11">
        <v>3</v>
      </c>
      <c r="H297" s="3">
        <f t="shared" ref="H297:H300" si="571">F297*G297</f>
        <v>6</v>
      </c>
      <c r="I297" s="3" t="s">
        <v>18</v>
      </c>
      <c r="J297" s="3">
        <f>Results!$O$33</f>
        <v>2</v>
      </c>
      <c r="K297" s="11">
        <v>3</v>
      </c>
      <c r="L297" s="3">
        <f t="shared" ref="L297:L300" si="572">J297*K297</f>
        <v>6</v>
      </c>
      <c r="M297" s="3" t="s">
        <v>17</v>
      </c>
      <c r="N297" s="3">
        <f>Results!$O$38</f>
        <v>2</v>
      </c>
      <c r="O297" s="11">
        <v>5</v>
      </c>
      <c r="P297" s="3">
        <f t="shared" ref="P297:P300" si="573">N297*O297</f>
        <v>10</v>
      </c>
      <c r="R297" s="3" t="s">
        <v>11</v>
      </c>
      <c r="S297" s="3">
        <f>Results!$O$23</f>
        <v>18</v>
      </c>
      <c r="T297" s="11">
        <v>3</v>
      </c>
      <c r="U297" s="3">
        <f t="shared" ref="U297:U300" si="574">S297*T297</f>
        <v>54</v>
      </c>
      <c r="V297" s="3" t="s">
        <v>57</v>
      </c>
      <c r="W297" s="3">
        <f>Results!$O$28</f>
        <v>2</v>
      </c>
      <c r="X297" s="11">
        <v>3</v>
      </c>
      <c r="Y297" s="3">
        <f t="shared" ref="Y297:Y300" si="575">W297*X297</f>
        <v>6</v>
      </c>
      <c r="Z297" s="3" t="s">
        <v>18</v>
      </c>
      <c r="AA297" s="3">
        <f>Results!$O$33</f>
        <v>2</v>
      </c>
      <c r="AB297" s="11">
        <v>3</v>
      </c>
      <c r="AC297" s="3">
        <f t="shared" ref="AC297:AC300" si="576">AA297*AB297</f>
        <v>6</v>
      </c>
      <c r="AD297" s="3" t="s">
        <v>17</v>
      </c>
      <c r="AE297" s="3">
        <f>Results!$O$38</f>
        <v>2</v>
      </c>
      <c r="AF297" s="11">
        <v>3</v>
      </c>
      <c r="AG297" s="3">
        <f t="shared" ref="AG297:AG300" si="577">AE297*AF297</f>
        <v>6</v>
      </c>
      <c r="AI297" s="3" t="s">
        <v>11</v>
      </c>
      <c r="AJ297" s="3">
        <f>Results!$O$23</f>
        <v>18</v>
      </c>
      <c r="AK297" s="11">
        <v>3</v>
      </c>
      <c r="AL297" s="3">
        <f t="shared" ref="AL297:AL300" si="578">AJ297*AK297</f>
        <v>54</v>
      </c>
      <c r="AM297" s="3" t="s">
        <v>57</v>
      </c>
      <c r="AN297" s="3">
        <f>Results!$O$28</f>
        <v>2</v>
      </c>
      <c r="AO297" s="11">
        <v>3</v>
      </c>
      <c r="AP297" s="3">
        <f t="shared" ref="AP297:AP300" si="579">AN297*AO297</f>
        <v>6</v>
      </c>
      <c r="AQ297" s="3" t="s">
        <v>18</v>
      </c>
      <c r="AR297" s="3">
        <f>Results!$O$33</f>
        <v>2</v>
      </c>
      <c r="AS297" s="11">
        <v>3</v>
      </c>
      <c r="AT297" s="3">
        <f t="shared" ref="AT297:AT300" si="580">AR297*AS297</f>
        <v>6</v>
      </c>
      <c r="AU297" s="3" t="s">
        <v>17</v>
      </c>
      <c r="AV297" s="3">
        <f>Results!$O$38</f>
        <v>2</v>
      </c>
      <c r="AW297" s="11">
        <v>3</v>
      </c>
      <c r="AX297" s="3">
        <f t="shared" ref="AX297:AX300" si="581">AV297*AW297</f>
        <v>6</v>
      </c>
    </row>
    <row r="298" spans="1:50" ht="13.5" customHeight="1" x14ac:dyDescent="0.2">
      <c r="A298" s="3" t="s">
        <v>108</v>
      </c>
      <c r="B298" s="3">
        <f>Results!$O$24</f>
        <v>-5</v>
      </c>
      <c r="C298" s="11"/>
      <c r="D298" s="3">
        <f t="shared" si="570"/>
        <v>0</v>
      </c>
      <c r="E298" s="3" t="s">
        <v>75</v>
      </c>
      <c r="F298" s="3">
        <f>Results!$O$29</f>
        <v>5</v>
      </c>
      <c r="G298" s="11">
        <v>2</v>
      </c>
      <c r="H298" s="3">
        <f t="shared" si="571"/>
        <v>10</v>
      </c>
      <c r="I298" s="3" t="s">
        <v>111</v>
      </c>
      <c r="J298" s="3">
        <f>Results!$O$34</f>
        <v>2</v>
      </c>
      <c r="K298" s="11">
        <v>2</v>
      </c>
      <c r="L298" s="3">
        <f t="shared" si="572"/>
        <v>4</v>
      </c>
      <c r="M298" s="3" t="s">
        <v>113</v>
      </c>
      <c r="N298" s="3">
        <f>Results!$O$39</f>
        <v>2</v>
      </c>
      <c r="O298" s="11">
        <v>1</v>
      </c>
      <c r="P298" s="3">
        <f t="shared" si="573"/>
        <v>2</v>
      </c>
      <c r="R298" s="3" t="s">
        <v>108</v>
      </c>
      <c r="S298" s="3">
        <f>Results!$O$24</f>
        <v>-5</v>
      </c>
      <c r="T298" s="11"/>
      <c r="U298" s="3">
        <f t="shared" si="574"/>
        <v>0</v>
      </c>
      <c r="V298" s="3" t="s">
        <v>75</v>
      </c>
      <c r="W298" s="3">
        <f>Results!$O$29</f>
        <v>5</v>
      </c>
      <c r="X298" s="11">
        <v>2</v>
      </c>
      <c r="Y298" s="3">
        <f t="shared" si="575"/>
        <v>10</v>
      </c>
      <c r="Z298" s="3" t="s">
        <v>111</v>
      </c>
      <c r="AA298" s="3">
        <f>Results!$O$34</f>
        <v>2</v>
      </c>
      <c r="AB298" s="11">
        <v>2</v>
      </c>
      <c r="AC298" s="3">
        <f t="shared" si="576"/>
        <v>4</v>
      </c>
      <c r="AD298" s="3" t="s">
        <v>113</v>
      </c>
      <c r="AE298" s="3">
        <f>Results!$O$39</f>
        <v>2</v>
      </c>
      <c r="AF298" s="11"/>
      <c r="AG298" s="3">
        <f t="shared" si="577"/>
        <v>0</v>
      </c>
      <c r="AI298" s="3" t="s">
        <v>108</v>
      </c>
      <c r="AJ298" s="3">
        <f>Results!$O$24</f>
        <v>-5</v>
      </c>
      <c r="AK298" s="11"/>
      <c r="AL298" s="3">
        <f t="shared" si="578"/>
        <v>0</v>
      </c>
      <c r="AM298" s="3" t="s">
        <v>75</v>
      </c>
      <c r="AN298" s="3">
        <f>Results!$O$29</f>
        <v>5</v>
      </c>
      <c r="AO298" s="11">
        <v>1</v>
      </c>
      <c r="AP298" s="3">
        <f t="shared" si="579"/>
        <v>5</v>
      </c>
      <c r="AQ298" s="3" t="s">
        <v>111</v>
      </c>
      <c r="AR298" s="3">
        <f>Results!$O$34</f>
        <v>2</v>
      </c>
      <c r="AS298" s="11">
        <v>2</v>
      </c>
      <c r="AT298" s="3">
        <f t="shared" si="580"/>
        <v>4</v>
      </c>
      <c r="AU298" s="3" t="s">
        <v>113</v>
      </c>
      <c r="AV298" s="3">
        <f>Results!$O$39</f>
        <v>2</v>
      </c>
      <c r="AW298" s="11"/>
      <c r="AX298" s="3">
        <f t="shared" si="581"/>
        <v>0</v>
      </c>
    </row>
    <row r="299" spans="1:50" ht="13.5" customHeight="1" x14ac:dyDescent="0.2">
      <c r="A299" s="3" t="s">
        <v>109</v>
      </c>
      <c r="B299" s="3">
        <f>Results!$O$25</f>
        <v>4</v>
      </c>
      <c r="C299" s="11">
        <v>2</v>
      </c>
      <c r="D299" s="3">
        <f t="shared" si="570"/>
        <v>8</v>
      </c>
      <c r="E299" s="3" t="s">
        <v>110</v>
      </c>
      <c r="F299" s="3">
        <f>Results!$O$30</f>
        <v>14</v>
      </c>
      <c r="G299" s="11">
        <v>1</v>
      </c>
      <c r="H299" s="3">
        <f t="shared" si="571"/>
        <v>14</v>
      </c>
      <c r="I299" s="3" t="s">
        <v>67</v>
      </c>
      <c r="J299" s="3">
        <f>Results!$O$35</f>
        <v>4</v>
      </c>
      <c r="K299" s="11">
        <v>1</v>
      </c>
      <c r="L299" s="3">
        <f t="shared" si="572"/>
        <v>4</v>
      </c>
      <c r="M299" s="3" t="s">
        <v>70</v>
      </c>
      <c r="N299" s="3">
        <f>Results!$O$40</f>
        <v>3</v>
      </c>
      <c r="O299" s="11">
        <v>2</v>
      </c>
      <c r="P299" s="3">
        <f t="shared" si="573"/>
        <v>6</v>
      </c>
      <c r="R299" s="3" t="s">
        <v>109</v>
      </c>
      <c r="S299" s="3">
        <f>Results!$O$25</f>
        <v>4</v>
      </c>
      <c r="T299" s="11">
        <v>2</v>
      </c>
      <c r="U299" s="3">
        <f t="shared" si="574"/>
        <v>8</v>
      </c>
      <c r="V299" s="3" t="s">
        <v>110</v>
      </c>
      <c r="W299" s="3">
        <f>Results!$O$30</f>
        <v>14</v>
      </c>
      <c r="X299" s="11">
        <v>1</v>
      </c>
      <c r="Y299" s="3">
        <f t="shared" si="575"/>
        <v>14</v>
      </c>
      <c r="Z299" s="3" t="s">
        <v>67</v>
      </c>
      <c r="AA299" s="3">
        <f>Results!$O$35</f>
        <v>4</v>
      </c>
      <c r="AB299" s="11"/>
      <c r="AC299" s="3">
        <f t="shared" si="576"/>
        <v>0</v>
      </c>
      <c r="AD299" s="3" t="s">
        <v>70</v>
      </c>
      <c r="AE299" s="3">
        <f>Results!$O$40</f>
        <v>3</v>
      </c>
      <c r="AF299" s="11">
        <v>1</v>
      </c>
      <c r="AG299" s="3">
        <f t="shared" si="577"/>
        <v>3</v>
      </c>
      <c r="AI299" s="3" t="s">
        <v>109</v>
      </c>
      <c r="AJ299" s="3">
        <f>Results!$O$25</f>
        <v>4</v>
      </c>
      <c r="AK299" s="11">
        <v>1</v>
      </c>
      <c r="AL299" s="3">
        <f t="shared" si="578"/>
        <v>4</v>
      </c>
      <c r="AM299" s="3" t="s">
        <v>110</v>
      </c>
      <c r="AN299" s="3">
        <f>Results!$O$30</f>
        <v>14</v>
      </c>
      <c r="AO299" s="11">
        <v>2</v>
      </c>
      <c r="AP299" s="3">
        <f t="shared" si="579"/>
        <v>28</v>
      </c>
      <c r="AQ299" s="3" t="s">
        <v>67</v>
      </c>
      <c r="AR299" s="3">
        <f>Results!$O$35</f>
        <v>4</v>
      </c>
      <c r="AS299" s="11">
        <v>1</v>
      </c>
      <c r="AT299" s="3">
        <f t="shared" si="580"/>
        <v>4</v>
      </c>
      <c r="AU299" s="3" t="s">
        <v>70</v>
      </c>
      <c r="AV299" s="3">
        <f>Results!$O$40</f>
        <v>3</v>
      </c>
      <c r="AW299" s="11">
        <v>1</v>
      </c>
      <c r="AX299" s="3">
        <f t="shared" si="581"/>
        <v>3</v>
      </c>
    </row>
    <row r="300" spans="1:50" ht="13.5" customHeight="1" x14ac:dyDescent="0.2">
      <c r="A300" s="24" t="s">
        <v>91</v>
      </c>
      <c r="B300" s="24">
        <f>Results!$O$26</f>
        <v>-2</v>
      </c>
      <c r="C300" s="25">
        <v>1</v>
      </c>
      <c r="D300" s="24">
        <f t="shared" si="570"/>
        <v>-2</v>
      </c>
      <c r="E300" s="24" t="s">
        <v>73</v>
      </c>
      <c r="F300" s="24">
        <f>Results!$O$31</f>
        <v>-4</v>
      </c>
      <c r="G300" s="25"/>
      <c r="H300" s="24">
        <f t="shared" si="571"/>
        <v>0</v>
      </c>
      <c r="I300" s="24" t="s">
        <v>112</v>
      </c>
      <c r="J300" s="24">
        <f>Results!$O$36</f>
        <v>5</v>
      </c>
      <c r="K300" s="25"/>
      <c r="L300" s="24">
        <f t="shared" si="572"/>
        <v>0</v>
      </c>
      <c r="M300" s="24" t="s">
        <v>84</v>
      </c>
      <c r="N300" s="24">
        <f>Results!$O$41</f>
        <v>4</v>
      </c>
      <c r="O300" s="25">
        <v>3</v>
      </c>
      <c r="P300" s="24">
        <f t="shared" si="573"/>
        <v>12</v>
      </c>
      <c r="R300" s="24" t="s">
        <v>91</v>
      </c>
      <c r="S300" s="24">
        <f>Results!$O$26</f>
        <v>-2</v>
      </c>
      <c r="T300" s="25">
        <v>1</v>
      </c>
      <c r="U300" s="24">
        <f t="shared" si="574"/>
        <v>-2</v>
      </c>
      <c r="V300" s="24" t="s">
        <v>73</v>
      </c>
      <c r="W300" s="24">
        <f>Results!$O$31</f>
        <v>-4</v>
      </c>
      <c r="X300" s="25"/>
      <c r="Y300" s="24">
        <f t="shared" si="575"/>
        <v>0</v>
      </c>
      <c r="Z300" s="24" t="s">
        <v>112</v>
      </c>
      <c r="AA300" s="24">
        <f>Results!$O$36</f>
        <v>5</v>
      </c>
      <c r="AB300" s="25">
        <v>1</v>
      </c>
      <c r="AC300" s="24">
        <f t="shared" si="576"/>
        <v>5</v>
      </c>
      <c r="AD300" s="24" t="s">
        <v>84</v>
      </c>
      <c r="AE300" s="24">
        <f>Results!$O$41</f>
        <v>4</v>
      </c>
      <c r="AF300" s="25">
        <v>2</v>
      </c>
      <c r="AG300" s="24">
        <f t="shared" si="577"/>
        <v>8</v>
      </c>
      <c r="AI300" s="24" t="s">
        <v>91</v>
      </c>
      <c r="AJ300" s="24">
        <f>Results!$O$26</f>
        <v>-2</v>
      </c>
      <c r="AK300" s="25">
        <v>2</v>
      </c>
      <c r="AL300" s="24">
        <f t="shared" si="578"/>
        <v>-4</v>
      </c>
      <c r="AM300" s="24" t="s">
        <v>73</v>
      </c>
      <c r="AN300" s="24">
        <f>Results!$O$31</f>
        <v>-4</v>
      </c>
      <c r="AO300" s="25"/>
      <c r="AP300" s="24">
        <f t="shared" si="579"/>
        <v>0</v>
      </c>
      <c r="AQ300" s="24" t="s">
        <v>112</v>
      </c>
      <c r="AR300" s="24">
        <f>Results!$O$36</f>
        <v>5</v>
      </c>
      <c r="AS300" s="25"/>
      <c r="AT300" s="24">
        <f t="shared" si="580"/>
        <v>0</v>
      </c>
      <c r="AU300" s="24" t="s">
        <v>84</v>
      </c>
      <c r="AV300" s="24">
        <f>Results!$O$41</f>
        <v>4</v>
      </c>
      <c r="AW300" s="25">
        <v>2</v>
      </c>
      <c r="AX300" s="24">
        <f t="shared" si="581"/>
        <v>8</v>
      </c>
    </row>
    <row r="301" spans="1:50" ht="13.5" customHeight="1" x14ac:dyDescent="0.2">
      <c r="A301" s="14" t="s">
        <v>97</v>
      </c>
      <c r="B301" s="15" t="s">
        <v>51</v>
      </c>
      <c r="C301" s="16" t="s">
        <v>21</v>
      </c>
      <c r="D301" s="15" t="s">
        <v>49</v>
      </c>
      <c r="E301" s="15" t="s">
        <v>98</v>
      </c>
      <c r="F301" s="15" t="s">
        <v>51</v>
      </c>
      <c r="G301" s="16" t="s">
        <v>21</v>
      </c>
      <c r="H301" s="15" t="s">
        <v>49</v>
      </c>
      <c r="I301" s="15" t="s">
        <v>99</v>
      </c>
      <c r="J301" s="15" t="s">
        <v>51</v>
      </c>
      <c r="K301" s="16" t="s">
        <v>21</v>
      </c>
      <c r="L301" s="15" t="s">
        <v>49</v>
      </c>
      <c r="M301" s="15" t="s">
        <v>100</v>
      </c>
      <c r="N301" s="15" t="s">
        <v>51</v>
      </c>
      <c r="O301" s="16" t="s">
        <v>21</v>
      </c>
      <c r="P301" s="15" t="s">
        <v>49</v>
      </c>
      <c r="R301" s="14" t="s">
        <v>97</v>
      </c>
      <c r="S301" s="15" t="s">
        <v>51</v>
      </c>
      <c r="T301" s="16" t="s">
        <v>21</v>
      </c>
      <c r="U301" s="15" t="s">
        <v>49</v>
      </c>
      <c r="V301" s="15" t="s">
        <v>98</v>
      </c>
      <c r="W301" s="15" t="s">
        <v>51</v>
      </c>
      <c r="X301" s="16" t="s">
        <v>21</v>
      </c>
      <c r="Y301" s="15" t="s">
        <v>49</v>
      </c>
      <c r="Z301" s="15" t="s">
        <v>99</v>
      </c>
      <c r="AA301" s="15" t="s">
        <v>51</v>
      </c>
      <c r="AB301" s="16" t="s">
        <v>21</v>
      </c>
      <c r="AC301" s="15" t="s">
        <v>49</v>
      </c>
      <c r="AD301" s="15" t="s">
        <v>100</v>
      </c>
      <c r="AE301" s="15" t="s">
        <v>51</v>
      </c>
      <c r="AF301" s="16" t="s">
        <v>21</v>
      </c>
      <c r="AG301" s="15" t="s">
        <v>49</v>
      </c>
      <c r="AI301" s="14" t="s">
        <v>97</v>
      </c>
      <c r="AJ301" s="15" t="s">
        <v>51</v>
      </c>
      <c r="AK301" s="16" t="s">
        <v>21</v>
      </c>
      <c r="AL301" s="15" t="s">
        <v>49</v>
      </c>
      <c r="AM301" s="15" t="s">
        <v>98</v>
      </c>
      <c r="AN301" s="15" t="s">
        <v>51</v>
      </c>
      <c r="AO301" s="16" t="s">
        <v>21</v>
      </c>
      <c r="AP301" s="15" t="s">
        <v>49</v>
      </c>
      <c r="AQ301" s="15" t="s">
        <v>99</v>
      </c>
      <c r="AR301" s="15" t="s">
        <v>51</v>
      </c>
      <c r="AS301" s="16" t="s">
        <v>21</v>
      </c>
      <c r="AT301" s="15" t="s">
        <v>49</v>
      </c>
      <c r="AU301" s="15" t="s">
        <v>100</v>
      </c>
      <c r="AV301" s="15" t="s">
        <v>51</v>
      </c>
      <c r="AW301" s="16" t="s">
        <v>21</v>
      </c>
      <c r="AX301" s="15" t="s">
        <v>49</v>
      </c>
    </row>
    <row r="302" spans="1:50" ht="13.5" customHeight="1" x14ac:dyDescent="0.2">
      <c r="A302" s="3" t="s">
        <v>8</v>
      </c>
      <c r="B302" s="3">
        <f>Results!$O$43</f>
        <v>10</v>
      </c>
      <c r="C302" s="11">
        <v>3</v>
      </c>
      <c r="D302" s="3">
        <f t="shared" ref="D302:D305" si="582">B302*C302</f>
        <v>30</v>
      </c>
      <c r="E302" s="3" t="s">
        <v>69</v>
      </c>
      <c r="F302" s="3">
        <f>Results!$O$48</f>
        <v>11</v>
      </c>
      <c r="G302" s="11">
        <v>3</v>
      </c>
      <c r="H302" s="3">
        <f t="shared" ref="H302:H305" si="583">F302*G302</f>
        <v>33</v>
      </c>
      <c r="I302" s="3" t="s">
        <v>19</v>
      </c>
      <c r="J302" s="3">
        <f>Results!$O$53</f>
        <v>1</v>
      </c>
      <c r="K302" s="11">
        <v>3</v>
      </c>
      <c r="L302" s="3">
        <f t="shared" ref="L302:L305" si="584">J302*K302</f>
        <v>3</v>
      </c>
      <c r="M302" s="3" t="s">
        <v>10</v>
      </c>
      <c r="N302" s="3">
        <f>Results!$O$58</f>
        <v>11</v>
      </c>
      <c r="O302" s="11">
        <v>3</v>
      </c>
      <c r="P302" s="3">
        <f t="shared" ref="P302:P305" si="585">N302*O302</f>
        <v>33</v>
      </c>
      <c r="R302" s="3" t="s">
        <v>8</v>
      </c>
      <c r="S302" s="3">
        <f>Results!$O$43</f>
        <v>10</v>
      </c>
      <c r="T302" s="11">
        <v>3</v>
      </c>
      <c r="U302" s="3">
        <f t="shared" ref="U302:U305" si="586">S302*T302</f>
        <v>30</v>
      </c>
      <c r="V302" s="3" t="s">
        <v>69</v>
      </c>
      <c r="W302" s="3">
        <f>Results!$O$48</f>
        <v>11</v>
      </c>
      <c r="X302" s="11">
        <v>3</v>
      </c>
      <c r="Y302" s="3">
        <f t="shared" ref="Y302:Y305" si="587">W302*X302</f>
        <v>33</v>
      </c>
      <c r="Z302" s="3" t="s">
        <v>19</v>
      </c>
      <c r="AA302" s="3">
        <f>Results!$O$53</f>
        <v>1</v>
      </c>
      <c r="AB302" s="11">
        <v>3</v>
      </c>
      <c r="AC302" s="3">
        <f t="shared" ref="AC302:AC305" si="588">AA302*AB302</f>
        <v>3</v>
      </c>
      <c r="AD302" s="3" t="s">
        <v>10</v>
      </c>
      <c r="AE302" s="3">
        <f>Results!$O$58</f>
        <v>11</v>
      </c>
      <c r="AF302" s="11">
        <v>3</v>
      </c>
      <c r="AG302" s="3">
        <f t="shared" ref="AG302:AG305" si="589">AE302*AF302</f>
        <v>33</v>
      </c>
      <c r="AI302" s="3" t="s">
        <v>8</v>
      </c>
      <c r="AJ302" s="3">
        <f>Results!$O$43</f>
        <v>10</v>
      </c>
      <c r="AK302" s="11">
        <v>5</v>
      </c>
      <c r="AL302" s="3">
        <f t="shared" ref="AL302:AL305" si="590">AJ302*AK302</f>
        <v>50</v>
      </c>
      <c r="AM302" s="3" t="s">
        <v>69</v>
      </c>
      <c r="AN302" s="3">
        <f>Results!$O$48</f>
        <v>11</v>
      </c>
      <c r="AO302" s="11">
        <v>3</v>
      </c>
      <c r="AP302" s="3">
        <f t="shared" ref="AP302:AP305" si="591">AN302*AO302</f>
        <v>33</v>
      </c>
      <c r="AQ302" s="3" t="s">
        <v>19</v>
      </c>
      <c r="AR302" s="3">
        <f>Results!$O$53</f>
        <v>1</v>
      </c>
      <c r="AS302" s="11">
        <v>3</v>
      </c>
      <c r="AT302" s="3">
        <f t="shared" ref="AT302:AT305" si="592">AR302*AS302</f>
        <v>3</v>
      </c>
      <c r="AU302" s="3" t="s">
        <v>10</v>
      </c>
      <c r="AV302" s="3">
        <f>Results!$O$58</f>
        <v>11</v>
      </c>
      <c r="AW302" s="11">
        <v>3</v>
      </c>
      <c r="AX302" s="3">
        <f t="shared" ref="AX302:AX305" si="593">AV302*AW302</f>
        <v>33</v>
      </c>
    </row>
    <row r="303" spans="1:50" ht="13.5" customHeight="1" x14ac:dyDescent="0.2">
      <c r="A303" s="3" t="s">
        <v>66</v>
      </c>
      <c r="B303" s="3">
        <f>Results!$O$44</f>
        <v>-1</v>
      </c>
      <c r="C303" s="11">
        <v>1</v>
      </c>
      <c r="D303" s="3">
        <f t="shared" si="582"/>
        <v>-1</v>
      </c>
      <c r="E303" s="3" t="s">
        <v>116</v>
      </c>
      <c r="F303" s="3">
        <f>Results!$O$49</f>
        <v>-3</v>
      </c>
      <c r="G303" s="11">
        <v>1</v>
      </c>
      <c r="H303" s="3">
        <f t="shared" si="583"/>
        <v>-3</v>
      </c>
      <c r="I303" s="3" t="s">
        <v>119</v>
      </c>
      <c r="J303" s="3">
        <f>Results!$O$54</f>
        <v>3</v>
      </c>
      <c r="K303" s="11"/>
      <c r="L303" s="3">
        <f t="shared" si="584"/>
        <v>0</v>
      </c>
      <c r="M303" s="3" t="s">
        <v>16</v>
      </c>
      <c r="N303" s="3">
        <f>Results!$O$59</f>
        <v>0</v>
      </c>
      <c r="O303" s="11">
        <v>2</v>
      </c>
      <c r="P303" s="3">
        <f t="shared" si="585"/>
        <v>0</v>
      </c>
      <c r="R303" s="3" t="s">
        <v>66</v>
      </c>
      <c r="S303" s="3">
        <f>Results!$O$44</f>
        <v>-1</v>
      </c>
      <c r="T303" s="11">
        <v>1</v>
      </c>
      <c r="U303" s="3">
        <f t="shared" si="586"/>
        <v>-1</v>
      </c>
      <c r="V303" s="3" t="s">
        <v>116</v>
      </c>
      <c r="W303" s="3">
        <f>Results!$O$49</f>
        <v>-3</v>
      </c>
      <c r="X303" s="11">
        <v>1</v>
      </c>
      <c r="Y303" s="3">
        <f t="shared" si="587"/>
        <v>-3</v>
      </c>
      <c r="Z303" s="3" t="s">
        <v>119</v>
      </c>
      <c r="AA303" s="3">
        <f>Results!$O$54</f>
        <v>3</v>
      </c>
      <c r="AB303" s="11"/>
      <c r="AC303" s="3">
        <f t="shared" si="588"/>
        <v>0</v>
      </c>
      <c r="AD303" s="3" t="s">
        <v>16</v>
      </c>
      <c r="AE303" s="3">
        <f>Results!$O$59</f>
        <v>0</v>
      </c>
      <c r="AF303" s="11">
        <v>2</v>
      </c>
      <c r="AG303" s="3">
        <f t="shared" si="589"/>
        <v>0</v>
      </c>
      <c r="AI303" s="3" t="s">
        <v>66</v>
      </c>
      <c r="AJ303" s="3">
        <f>Results!$O$44</f>
        <v>-1</v>
      </c>
      <c r="AK303" s="11">
        <v>2</v>
      </c>
      <c r="AL303" s="3">
        <f t="shared" si="590"/>
        <v>-2</v>
      </c>
      <c r="AM303" s="3" t="s">
        <v>116</v>
      </c>
      <c r="AN303" s="3">
        <f>Results!$O$49</f>
        <v>-3</v>
      </c>
      <c r="AO303" s="11">
        <v>1</v>
      </c>
      <c r="AP303" s="3">
        <f t="shared" si="591"/>
        <v>-3</v>
      </c>
      <c r="AQ303" s="3" t="s">
        <v>119</v>
      </c>
      <c r="AR303" s="3">
        <f>Results!$O$54</f>
        <v>3</v>
      </c>
      <c r="AS303" s="11">
        <v>1</v>
      </c>
      <c r="AT303" s="3">
        <f t="shared" si="592"/>
        <v>3</v>
      </c>
      <c r="AU303" s="3" t="s">
        <v>16</v>
      </c>
      <c r="AV303" s="3">
        <f>Results!$O$59</f>
        <v>0</v>
      </c>
      <c r="AW303" s="11">
        <v>2</v>
      </c>
      <c r="AX303" s="3">
        <f t="shared" si="593"/>
        <v>0</v>
      </c>
    </row>
    <row r="304" spans="1:50" ht="13.5" customHeight="1" x14ac:dyDescent="0.2">
      <c r="A304" s="3" t="s">
        <v>114</v>
      </c>
      <c r="B304" s="3">
        <f>Results!$O$45</f>
        <v>-3</v>
      </c>
      <c r="C304" s="11"/>
      <c r="D304" s="3">
        <f t="shared" si="582"/>
        <v>0</v>
      </c>
      <c r="E304" s="3" t="s">
        <v>117</v>
      </c>
      <c r="F304" s="3">
        <f>Results!$O$50</f>
        <v>9</v>
      </c>
      <c r="G304" s="11">
        <v>2</v>
      </c>
      <c r="H304" s="3">
        <f t="shared" si="583"/>
        <v>18</v>
      </c>
      <c r="I304" s="3" t="s">
        <v>120</v>
      </c>
      <c r="J304" s="3">
        <f>Results!$O$55</f>
        <v>-2</v>
      </c>
      <c r="K304" s="11">
        <v>1</v>
      </c>
      <c r="L304" s="3">
        <f t="shared" si="584"/>
        <v>-2</v>
      </c>
      <c r="M304" s="3" t="s">
        <v>83</v>
      </c>
      <c r="N304" s="3">
        <f>Results!$O$60</f>
        <v>6</v>
      </c>
      <c r="O304" s="11">
        <v>1</v>
      </c>
      <c r="P304" s="3">
        <f t="shared" si="585"/>
        <v>6</v>
      </c>
      <c r="R304" s="3" t="s">
        <v>114</v>
      </c>
      <c r="S304" s="3">
        <f>Results!$O$45</f>
        <v>-3</v>
      </c>
      <c r="T304" s="11"/>
      <c r="U304" s="3">
        <f t="shared" si="586"/>
        <v>0</v>
      </c>
      <c r="V304" s="3" t="s">
        <v>117</v>
      </c>
      <c r="W304" s="3">
        <f>Results!$O$50</f>
        <v>9</v>
      </c>
      <c r="X304" s="11">
        <v>2</v>
      </c>
      <c r="Y304" s="3">
        <f t="shared" si="587"/>
        <v>18</v>
      </c>
      <c r="Z304" s="3" t="s">
        <v>120</v>
      </c>
      <c r="AA304" s="3">
        <f>Results!$O$55</f>
        <v>-2</v>
      </c>
      <c r="AB304" s="11">
        <v>1</v>
      </c>
      <c r="AC304" s="3">
        <f t="shared" si="588"/>
        <v>-2</v>
      </c>
      <c r="AD304" s="3" t="s">
        <v>83</v>
      </c>
      <c r="AE304" s="3">
        <f>Results!$O$60</f>
        <v>6</v>
      </c>
      <c r="AF304" s="11">
        <v>1</v>
      </c>
      <c r="AG304" s="3">
        <f t="shared" si="589"/>
        <v>6</v>
      </c>
      <c r="AI304" s="3" t="s">
        <v>114</v>
      </c>
      <c r="AJ304" s="3">
        <f>Results!$O$45</f>
        <v>-3</v>
      </c>
      <c r="AK304" s="11">
        <v>1</v>
      </c>
      <c r="AL304" s="3">
        <f t="shared" si="590"/>
        <v>-3</v>
      </c>
      <c r="AM304" s="3" t="s">
        <v>117</v>
      </c>
      <c r="AN304" s="3">
        <f>Results!$O$50</f>
        <v>9</v>
      </c>
      <c r="AO304" s="11">
        <v>2</v>
      </c>
      <c r="AP304" s="3">
        <f t="shared" si="591"/>
        <v>18</v>
      </c>
      <c r="AQ304" s="3" t="s">
        <v>120</v>
      </c>
      <c r="AR304" s="3">
        <f>Results!$O$55</f>
        <v>-2</v>
      </c>
      <c r="AS304" s="11"/>
      <c r="AT304" s="3">
        <f t="shared" si="592"/>
        <v>0</v>
      </c>
      <c r="AU304" s="3" t="s">
        <v>83</v>
      </c>
      <c r="AV304" s="3">
        <f>Results!$O$60</f>
        <v>6</v>
      </c>
      <c r="AW304" s="11">
        <v>1</v>
      </c>
      <c r="AX304" s="3">
        <f t="shared" si="593"/>
        <v>6</v>
      </c>
    </row>
    <row r="305" spans="1:50" ht="13.5" customHeight="1" thickBot="1" x14ac:dyDescent="0.25">
      <c r="A305" s="19" t="s">
        <v>115</v>
      </c>
      <c r="B305" s="19">
        <f>Results!$O$46</f>
        <v>12</v>
      </c>
      <c r="C305" s="20">
        <v>2</v>
      </c>
      <c r="D305" s="19">
        <f t="shared" si="582"/>
        <v>24</v>
      </c>
      <c r="E305" s="19" t="s">
        <v>118</v>
      </c>
      <c r="F305" s="19">
        <f>Results!$O$51</f>
        <v>-1</v>
      </c>
      <c r="G305" s="20"/>
      <c r="H305" s="19">
        <f t="shared" si="583"/>
        <v>0</v>
      </c>
      <c r="I305" s="19" t="s">
        <v>121</v>
      </c>
      <c r="J305" s="19">
        <f>Results!$O$56</f>
        <v>9</v>
      </c>
      <c r="K305" s="20">
        <v>2</v>
      </c>
      <c r="L305" s="19">
        <f t="shared" si="584"/>
        <v>18</v>
      </c>
      <c r="M305" s="19" t="s">
        <v>122</v>
      </c>
      <c r="N305" s="19">
        <f>Results!$O$61</f>
        <v>-3</v>
      </c>
      <c r="O305" s="20"/>
      <c r="P305" s="19">
        <f t="shared" si="585"/>
        <v>0</v>
      </c>
      <c r="R305" s="19" t="s">
        <v>115</v>
      </c>
      <c r="S305" s="19">
        <f>Results!$O$46</f>
        <v>12</v>
      </c>
      <c r="T305" s="20">
        <v>2</v>
      </c>
      <c r="U305" s="19">
        <f t="shared" si="586"/>
        <v>24</v>
      </c>
      <c r="V305" s="19" t="s">
        <v>118</v>
      </c>
      <c r="W305" s="19">
        <f>Results!$O$51</f>
        <v>-1</v>
      </c>
      <c r="X305" s="20"/>
      <c r="Y305" s="19">
        <f t="shared" si="587"/>
        <v>0</v>
      </c>
      <c r="Z305" s="19" t="s">
        <v>121</v>
      </c>
      <c r="AA305" s="19">
        <f>Results!$O$56</f>
        <v>9</v>
      </c>
      <c r="AB305" s="20">
        <v>2</v>
      </c>
      <c r="AC305" s="19">
        <f t="shared" si="588"/>
        <v>18</v>
      </c>
      <c r="AD305" s="19" t="s">
        <v>122</v>
      </c>
      <c r="AE305" s="19">
        <f>Results!$O$61</f>
        <v>-3</v>
      </c>
      <c r="AF305" s="20"/>
      <c r="AG305" s="19">
        <f t="shared" si="589"/>
        <v>0</v>
      </c>
      <c r="AI305" s="19" t="s">
        <v>115</v>
      </c>
      <c r="AJ305" s="19">
        <f>Results!$O$46</f>
        <v>12</v>
      </c>
      <c r="AK305" s="20">
        <v>3</v>
      </c>
      <c r="AL305" s="19">
        <f t="shared" si="590"/>
        <v>36</v>
      </c>
      <c r="AM305" s="19" t="s">
        <v>118</v>
      </c>
      <c r="AN305" s="19">
        <f>Results!$O$51</f>
        <v>-1</v>
      </c>
      <c r="AO305" s="20"/>
      <c r="AP305" s="19">
        <f t="shared" si="591"/>
        <v>0</v>
      </c>
      <c r="AQ305" s="19" t="s">
        <v>121</v>
      </c>
      <c r="AR305" s="19">
        <f>Results!$O$56</f>
        <v>9</v>
      </c>
      <c r="AS305" s="20">
        <v>2</v>
      </c>
      <c r="AT305" s="19">
        <f t="shared" si="592"/>
        <v>18</v>
      </c>
      <c r="AU305" s="19" t="s">
        <v>122</v>
      </c>
      <c r="AV305" s="19">
        <f>Results!$O$61</f>
        <v>-3</v>
      </c>
      <c r="AW305" s="20"/>
      <c r="AX305" s="19">
        <f t="shared" si="593"/>
        <v>0</v>
      </c>
    </row>
    <row r="306" spans="1:50" ht="13.5" customHeight="1" thickBot="1" x14ac:dyDescent="0.25">
      <c r="A306" s="35"/>
      <c r="B306" s="36"/>
      <c r="C306" s="37"/>
      <c r="D306" s="36"/>
      <c r="E306" s="36"/>
      <c r="F306" s="36"/>
      <c r="G306" s="37"/>
      <c r="H306" s="36"/>
      <c r="I306" s="36"/>
      <c r="J306" s="36"/>
      <c r="K306" s="37"/>
      <c r="L306" s="36"/>
      <c r="M306" s="36"/>
      <c r="N306" s="36"/>
      <c r="O306" s="37"/>
      <c r="P306" s="36"/>
      <c r="R306" s="35"/>
      <c r="S306" s="36"/>
      <c r="T306" s="37"/>
      <c r="U306" s="36"/>
      <c r="V306" s="36"/>
      <c r="W306" s="36"/>
      <c r="X306" s="37"/>
      <c r="Y306" s="36"/>
      <c r="Z306" s="36"/>
      <c r="AA306" s="36"/>
      <c r="AB306" s="37"/>
      <c r="AC306" s="36"/>
      <c r="AD306" s="36"/>
      <c r="AE306" s="36"/>
      <c r="AF306" s="37"/>
      <c r="AG306" s="36"/>
      <c r="AI306" s="35"/>
      <c r="AJ306" s="36"/>
      <c r="AK306" s="37"/>
      <c r="AL306" s="36"/>
      <c r="AM306" s="36"/>
      <c r="AN306" s="36"/>
      <c r="AO306" s="37"/>
      <c r="AP306" s="36"/>
      <c r="AQ306" s="36"/>
      <c r="AR306" s="36"/>
      <c r="AS306" s="37"/>
      <c r="AT306" s="36"/>
      <c r="AU306" s="36"/>
      <c r="AV306" s="36"/>
      <c r="AW306" s="37"/>
      <c r="AX306" s="36"/>
    </row>
    <row r="307" spans="1:50" ht="13.5" customHeight="1" x14ac:dyDescent="0.2">
      <c r="A307" s="12" t="s">
        <v>0</v>
      </c>
      <c r="B307" s="59" t="s">
        <v>167</v>
      </c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13" t="s">
        <v>50</v>
      </c>
      <c r="N307" s="61">
        <f>SUM(D309:D312,D314:D317,H309:H312, H314:H317,L309:L312,L314:L317,P309:P312,P314:P317,D319:D322,H319:H322,L319:L322,P319:P322)</f>
        <v>324</v>
      </c>
      <c r="O307" s="61"/>
      <c r="P307" s="66"/>
      <c r="R307" s="12" t="s">
        <v>0</v>
      </c>
      <c r="S307" s="59" t="s">
        <v>170</v>
      </c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13" t="s">
        <v>50</v>
      </c>
      <c r="AE307" s="61">
        <f>SUM(U309:U312,U314:U317,Y309:Y312, Y314:Y317,AC309:AC312,AC314:AC317,AG309:AG312,AG314:AG317,U319:U322,Y319:Y322,AC319:AC322,AG319:AG322)</f>
        <v>364</v>
      </c>
      <c r="AF307" s="61"/>
      <c r="AG307" s="66"/>
      <c r="AI307" s="12" t="s">
        <v>0</v>
      </c>
      <c r="AJ307" s="59" t="s">
        <v>171</v>
      </c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13" t="s">
        <v>50</v>
      </c>
      <c r="AV307" s="61">
        <f>SUM(AL309:AL312,AL314:AL317,AP309:AP312, AP314:AP317,AT309:AT312,AT314:AT317,AX309:AX312,AX314:AX317,AL319:AL322,AP319:AP322,AT319:AT322,AX319:AX322)</f>
        <v>415</v>
      </c>
      <c r="AW307" s="61"/>
      <c r="AX307" s="66"/>
    </row>
    <row r="308" spans="1:50" ht="13.5" customHeight="1" x14ac:dyDescent="0.2">
      <c r="A308" s="14" t="s">
        <v>3</v>
      </c>
      <c r="B308" s="15" t="s">
        <v>51</v>
      </c>
      <c r="C308" s="16" t="s">
        <v>21</v>
      </c>
      <c r="D308" s="15" t="s">
        <v>49</v>
      </c>
      <c r="E308" s="15" t="s">
        <v>6</v>
      </c>
      <c r="F308" s="15" t="s">
        <v>51</v>
      </c>
      <c r="G308" s="16" t="s">
        <v>21</v>
      </c>
      <c r="H308" s="15" t="s">
        <v>49</v>
      </c>
      <c r="I308" s="15" t="s">
        <v>7</v>
      </c>
      <c r="J308" s="15" t="s">
        <v>51</v>
      </c>
      <c r="K308" s="16" t="s">
        <v>21</v>
      </c>
      <c r="L308" s="15" t="s">
        <v>49</v>
      </c>
      <c r="M308" s="15" t="s">
        <v>13</v>
      </c>
      <c r="N308" s="15" t="s">
        <v>51</v>
      </c>
      <c r="O308" s="16" t="s">
        <v>21</v>
      </c>
      <c r="P308" s="17" t="s">
        <v>49</v>
      </c>
      <c r="R308" s="14" t="s">
        <v>3</v>
      </c>
      <c r="S308" s="15" t="s">
        <v>51</v>
      </c>
      <c r="T308" s="16" t="s">
        <v>21</v>
      </c>
      <c r="U308" s="15" t="s">
        <v>49</v>
      </c>
      <c r="V308" s="15" t="s">
        <v>6</v>
      </c>
      <c r="W308" s="15" t="s">
        <v>51</v>
      </c>
      <c r="X308" s="16" t="s">
        <v>21</v>
      </c>
      <c r="Y308" s="15" t="s">
        <v>49</v>
      </c>
      <c r="Z308" s="15" t="s">
        <v>7</v>
      </c>
      <c r="AA308" s="15" t="s">
        <v>51</v>
      </c>
      <c r="AB308" s="16" t="s">
        <v>21</v>
      </c>
      <c r="AC308" s="15" t="s">
        <v>49</v>
      </c>
      <c r="AD308" s="15" t="s">
        <v>13</v>
      </c>
      <c r="AE308" s="15" t="s">
        <v>51</v>
      </c>
      <c r="AF308" s="16" t="s">
        <v>21</v>
      </c>
      <c r="AG308" s="17" t="s">
        <v>49</v>
      </c>
      <c r="AI308" s="14" t="s">
        <v>3</v>
      </c>
      <c r="AJ308" s="15" t="s">
        <v>51</v>
      </c>
      <c r="AK308" s="16" t="s">
        <v>21</v>
      </c>
      <c r="AL308" s="15" t="s">
        <v>49</v>
      </c>
      <c r="AM308" s="15" t="s">
        <v>6</v>
      </c>
      <c r="AN308" s="15" t="s">
        <v>51</v>
      </c>
      <c r="AO308" s="16" t="s">
        <v>21</v>
      </c>
      <c r="AP308" s="15" t="s">
        <v>49</v>
      </c>
      <c r="AQ308" s="15" t="s">
        <v>7</v>
      </c>
      <c r="AR308" s="15" t="s">
        <v>51</v>
      </c>
      <c r="AS308" s="16" t="s">
        <v>21</v>
      </c>
      <c r="AT308" s="15" t="s">
        <v>49</v>
      </c>
      <c r="AU308" s="15" t="s">
        <v>13</v>
      </c>
      <c r="AV308" s="15" t="s">
        <v>51</v>
      </c>
      <c r="AW308" s="16" t="s">
        <v>21</v>
      </c>
      <c r="AX308" s="17" t="s">
        <v>49</v>
      </c>
    </row>
    <row r="309" spans="1:50" ht="13.5" customHeight="1" x14ac:dyDescent="0.2">
      <c r="A309" s="3" t="s">
        <v>71</v>
      </c>
      <c r="B309" s="3">
        <f>Results!$O$3</f>
        <v>3</v>
      </c>
      <c r="C309" s="11">
        <v>3</v>
      </c>
      <c r="D309" s="3">
        <f t="shared" ref="D309:D312" si="594">B309*C309</f>
        <v>9</v>
      </c>
      <c r="E309" s="3" t="s">
        <v>76</v>
      </c>
      <c r="F309" s="3">
        <f>Results!$O$8</f>
        <v>2</v>
      </c>
      <c r="G309" s="11">
        <v>2</v>
      </c>
      <c r="H309" s="3">
        <f t="shared" ref="H309:H312" si="595">F309*G309</f>
        <v>4</v>
      </c>
      <c r="I309" s="3" t="s">
        <v>80</v>
      </c>
      <c r="J309" s="3">
        <f>Results!$O$13</f>
        <v>2</v>
      </c>
      <c r="K309" s="11">
        <v>2</v>
      </c>
      <c r="L309" s="3">
        <f t="shared" ref="L309:L312" si="596">J309*K309</f>
        <v>4</v>
      </c>
      <c r="M309" s="3" t="s">
        <v>68</v>
      </c>
      <c r="N309" s="3">
        <f>Results!$O$18</f>
        <v>11</v>
      </c>
      <c r="O309" s="11">
        <v>2</v>
      </c>
      <c r="P309" s="18">
        <f>N309*O309</f>
        <v>22</v>
      </c>
      <c r="R309" s="3" t="s">
        <v>71</v>
      </c>
      <c r="S309" s="3">
        <f>Results!$O$3</f>
        <v>3</v>
      </c>
      <c r="T309" s="11">
        <v>3</v>
      </c>
      <c r="U309" s="3">
        <f t="shared" ref="U309:U312" si="597">S309*T309</f>
        <v>9</v>
      </c>
      <c r="V309" s="3" t="s">
        <v>76</v>
      </c>
      <c r="W309" s="3">
        <f>Results!$O$8</f>
        <v>2</v>
      </c>
      <c r="X309" s="11">
        <v>3</v>
      </c>
      <c r="Y309" s="3">
        <f t="shared" ref="Y309:Y312" si="598">W309*X309</f>
        <v>6</v>
      </c>
      <c r="Z309" s="3" t="s">
        <v>80</v>
      </c>
      <c r="AA309" s="3">
        <f>Results!$O$13</f>
        <v>2</v>
      </c>
      <c r="AB309" s="11">
        <v>3</v>
      </c>
      <c r="AC309" s="3">
        <f t="shared" ref="AC309:AC312" si="599">AA309*AB309</f>
        <v>6</v>
      </c>
      <c r="AD309" s="3" t="s">
        <v>68</v>
      </c>
      <c r="AE309" s="3">
        <f>Results!$O$18</f>
        <v>11</v>
      </c>
      <c r="AF309" s="11">
        <v>3</v>
      </c>
      <c r="AG309" s="18">
        <f>AE309*AF309</f>
        <v>33</v>
      </c>
      <c r="AI309" s="3" t="s">
        <v>71</v>
      </c>
      <c r="AJ309" s="3">
        <f>Results!$O$3</f>
        <v>3</v>
      </c>
      <c r="AK309" s="11">
        <v>2</v>
      </c>
      <c r="AL309" s="3">
        <f t="shared" ref="AL309:AL312" si="600">AJ309*AK309</f>
        <v>6</v>
      </c>
      <c r="AM309" s="3" t="s">
        <v>76</v>
      </c>
      <c r="AN309" s="3">
        <f>Results!$O$8</f>
        <v>2</v>
      </c>
      <c r="AO309" s="11"/>
      <c r="AP309" s="3">
        <f t="shared" ref="AP309:AP312" si="601">AN309*AO309</f>
        <v>0</v>
      </c>
      <c r="AQ309" s="3" t="s">
        <v>80</v>
      </c>
      <c r="AR309" s="3">
        <f>Results!$O$13</f>
        <v>2</v>
      </c>
      <c r="AS309" s="11">
        <v>3</v>
      </c>
      <c r="AT309" s="3">
        <f t="shared" ref="AT309:AT312" si="602">AR309*AS309</f>
        <v>6</v>
      </c>
      <c r="AU309" s="3" t="s">
        <v>68</v>
      </c>
      <c r="AV309" s="3">
        <f>Results!$O$18</f>
        <v>11</v>
      </c>
      <c r="AW309" s="11">
        <v>3</v>
      </c>
      <c r="AX309" s="18">
        <f>AV309*AW309</f>
        <v>33</v>
      </c>
    </row>
    <row r="310" spans="1:50" ht="13.5" customHeight="1" x14ac:dyDescent="0.2">
      <c r="A310" s="3" t="s">
        <v>123</v>
      </c>
      <c r="B310" s="3">
        <f>Results!$O$4</f>
        <v>-14</v>
      </c>
      <c r="C310" s="11">
        <v>1</v>
      </c>
      <c r="D310" s="3">
        <f t="shared" si="594"/>
        <v>-14</v>
      </c>
      <c r="E310" s="3" t="s">
        <v>103</v>
      </c>
      <c r="F310" s="3">
        <f>Results!$O$9</f>
        <v>1</v>
      </c>
      <c r="G310" s="11">
        <v>1</v>
      </c>
      <c r="H310" s="3">
        <f t="shared" si="595"/>
        <v>1</v>
      </c>
      <c r="I310" s="3" t="s">
        <v>77</v>
      </c>
      <c r="J310" s="3">
        <f>Results!$O$14</f>
        <v>4</v>
      </c>
      <c r="K310" s="11">
        <v>3</v>
      </c>
      <c r="L310" s="3">
        <f t="shared" si="596"/>
        <v>12</v>
      </c>
      <c r="M310" s="3" t="s">
        <v>106</v>
      </c>
      <c r="N310" s="3">
        <f>Results!$O$19</f>
        <v>-7</v>
      </c>
      <c r="O310" s="11"/>
      <c r="P310" s="18">
        <f>N310*O310</f>
        <v>0</v>
      </c>
      <c r="R310" s="3" t="s">
        <v>123</v>
      </c>
      <c r="S310" s="3">
        <f>Results!$O$4</f>
        <v>-14</v>
      </c>
      <c r="T310" s="11">
        <v>2</v>
      </c>
      <c r="U310" s="3">
        <f t="shared" si="597"/>
        <v>-28</v>
      </c>
      <c r="V310" s="3" t="s">
        <v>103</v>
      </c>
      <c r="W310" s="3">
        <f>Results!$O$9</f>
        <v>1</v>
      </c>
      <c r="X310" s="11"/>
      <c r="Y310" s="3">
        <f t="shared" si="598"/>
        <v>0</v>
      </c>
      <c r="Z310" s="3" t="s">
        <v>77</v>
      </c>
      <c r="AA310" s="3">
        <f>Results!$O$14</f>
        <v>4</v>
      </c>
      <c r="AB310" s="11">
        <v>2</v>
      </c>
      <c r="AC310" s="3">
        <f t="shared" si="599"/>
        <v>8</v>
      </c>
      <c r="AD310" s="3" t="s">
        <v>106</v>
      </c>
      <c r="AE310" s="3">
        <f>Results!$O$19</f>
        <v>-7</v>
      </c>
      <c r="AF310" s="11">
        <v>1</v>
      </c>
      <c r="AG310" s="18">
        <f>AE310*AF310</f>
        <v>-7</v>
      </c>
      <c r="AI310" s="3" t="s">
        <v>123</v>
      </c>
      <c r="AJ310" s="3">
        <f>Results!$O$4</f>
        <v>-14</v>
      </c>
      <c r="AK310" s="11"/>
      <c r="AL310" s="3">
        <f t="shared" si="600"/>
        <v>0</v>
      </c>
      <c r="AM310" s="3" t="s">
        <v>103</v>
      </c>
      <c r="AN310" s="3">
        <f>Results!$O$9</f>
        <v>1</v>
      </c>
      <c r="AO310" s="11">
        <v>2</v>
      </c>
      <c r="AP310" s="3">
        <f t="shared" si="601"/>
        <v>2</v>
      </c>
      <c r="AQ310" s="3" t="s">
        <v>77</v>
      </c>
      <c r="AR310" s="3">
        <f>Results!$O$14</f>
        <v>4</v>
      </c>
      <c r="AS310" s="11">
        <v>2</v>
      </c>
      <c r="AT310" s="3">
        <f t="shared" si="602"/>
        <v>8</v>
      </c>
      <c r="AU310" s="3" t="s">
        <v>106</v>
      </c>
      <c r="AV310" s="3">
        <f>Results!$O$19</f>
        <v>-7</v>
      </c>
      <c r="AW310" s="11"/>
      <c r="AX310" s="18">
        <f>AV310*AW310</f>
        <v>0</v>
      </c>
    </row>
    <row r="311" spans="1:50" ht="13.5" customHeight="1" x14ac:dyDescent="0.2">
      <c r="A311" s="3" t="s">
        <v>124</v>
      </c>
      <c r="B311" s="3">
        <f>Results!$O$5</f>
        <v>7</v>
      </c>
      <c r="C311" s="11"/>
      <c r="D311" s="3">
        <f t="shared" si="594"/>
        <v>0</v>
      </c>
      <c r="E311" s="3" t="s">
        <v>65</v>
      </c>
      <c r="F311" s="3">
        <f>Results!$O$10</f>
        <v>2</v>
      </c>
      <c r="G311" s="11"/>
      <c r="H311" s="3">
        <f t="shared" si="595"/>
        <v>0</v>
      </c>
      <c r="I311" s="3" t="s">
        <v>104</v>
      </c>
      <c r="J311" s="3">
        <f>Results!$O$15</f>
        <v>-2</v>
      </c>
      <c r="K311" s="11"/>
      <c r="L311" s="3">
        <f t="shared" si="596"/>
        <v>0</v>
      </c>
      <c r="M311" s="3" t="s">
        <v>72</v>
      </c>
      <c r="N311" s="3">
        <f>Results!$O$20</f>
        <v>9</v>
      </c>
      <c r="O311" s="11">
        <v>1</v>
      </c>
      <c r="P311" s="18">
        <f>N311*O311</f>
        <v>9</v>
      </c>
      <c r="R311" s="3" t="s">
        <v>124</v>
      </c>
      <c r="S311" s="3">
        <f>Results!$O$5</f>
        <v>7</v>
      </c>
      <c r="T311" s="11">
        <v>1</v>
      </c>
      <c r="U311" s="3">
        <f t="shared" si="597"/>
        <v>7</v>
      </c>
      <c r="V311" s="3" t="s">
        <v>65</v>
      </c>
      <c r="W311" s="3">
        <f>Results!$O$10</f>
        <v>2</v>
      </c>
      <c r="X311" s="11">
        <v>1</v>
      </c>
      <c r="Y311" s="3">
        <f t="shared" si="598"/>
        <v>2</v>
      </c>
      <c r="Z311" s="3" t="s">
        <v>104</v>
      </c>
      <c r="AA311" s="3">
        <f>Results!$O$15</f>
        <v>-2</v>
      </c>
      <c r="AB311" s="11"/>
      <c r="AC311" s="3">
        <f t="shared" si="599"/>
        <v>0</v>
      </c>
      <c r="AD311" s="3" t="s">
        <v>72</v>
      </c>
      <c r="AE311" s="3">
        <f>Results!$O$20</f>
        <v>9</v>
      </c>
      <c r="AF311" s="11">
        <v>2</v>
      </c>
      <c r="AG311" s="18">
        <f>AE311*AF311</f>
        <v>18</v>
      </c>
      <c r="AI311" s="3" t="s">
        <v>124</v>
      </c>
      <c r="AJ311" s="3">
        <f>Results!$O$5</f>
        <v>7</v>
      </c>
      <c r="AK311" s="11">
        <v>3</v>
      </c>
      <c r="AL311" s="3">
        <f t="shared" si="600"/>
        <v>21</v>
      </c>
      <c r="AM311" s="3" t="s">
        <v>65</v>
      </c>
      <c r="AN311" s="3">
        <f>Results!$O$10</f>
        <v>2</v>
      </c>
      <c r="AO311" s="11">
        <v>1</v>
      </c>
      <c r="AP311" s="3">
        <f t="shared" si="601"/>
        <v>2</v>
      </c>
      <c r="AQ311" s="3" t="s">
        <v>104</v>
      </c>
      <c r="AR311" s="3">
        <f>Results!$O$15</f>
        <v>-2</v>
      </c>
      <c r="AS311" s="11"/>
      <c r="AT311" s="3">
        <f t="shared" si="602"/>
        <v>0</v>
      </c>
      <c r="AU311" s="3" t="s">
        <v>72</v>
      </c>
      <c r="AV311" s="3">
        <f>Results!$O$20</f>
        <v>9</v>
      </c>
      <c r="AW311" s="11">
        <v>2</v>
      </c>
      <c r="AX311" s="18">
        <f>AV311*AW311</f>
        <v>18</v>
      </c>
    </row>
    <row r="312" spans="1:50" ht="13.5" customHeight="1" x14ac:dyDescent="0.2">
      <c r="A312" s="3" t="s">
        <v>102</v>
      </c>
      <c r="B312" s="3">
        <f>Results!$O$6</f>
        <v>0</v>
      </c>
      <c r="C312" s="11">
        <v>2</v>
      </c>
      <c r="D312" s="3">
        <f t="shared" si="594"/>
        <v>0</v>
      </c>
      <c r="E312" s="3" t="s">
        <v>12</v>
      </c>
      <c r="F312" s="3">
        <f>Results!$O$11</f>
        <v>3</v>
      </c>
      <c r="G312" s="11">
        <v>3</v>
      </c>
      <c r="H312" s="3">
        <f t="shared" si="595"/>
        <v>9</v>
      </c>
      <c r="I312" s="3" t="s">
        <v>105</v>
      </c>
      <c r="J312" s="3">
        <f>Results!$O$16</f>
        <v>4</v>
      </c>
      <c r="K312" s="11">
        <v>1</v>
      </c>
      <c r="L312" s="3">
        <f t="shared" si="596"/>
        <v>4</v>
      </c>
      <c r="M312" s="3" t="s">
        <v>107</v>
      </c>
      <c r="N312" s="3">
        <f>Results!$O$21</f>
        <v>-3</v>
      </c>
      <c r="O312" s="11">
        <v>3</v>
      </c>
      <c r="P312" s="18">
        <f>N312*O312</f>
        <v>-9</v>
      </c>
      <c r="R312" s="3" t="s">
        <v>102</v>
      </c>
      <c r="S312" s="3">
        <f>Results!$O$6</f>
        <v>0</v>
      </c>
      <c r="T312" s="11"/>
      <c r="U312" s="3">
        <f t="shared" si="597"/>
        <v>0</v>
      </c>
      <c r="V312" s="3" t="s">
        <v>12</v>
      </c>
      <c r="W312" s="3">
        <f>Results!$O$11</f>
        <v>3</v>
      </c>
      <c r="X312" s="11">
        <v>2</v>
      </c>
      <c r="Y312" s="3">
        <f t="shared" si="598"/>
        <v>6</v>
      </c>
      <c r="Z312" s="3" t="s">
        <v>105</v>
      </c>
      <c r="AA312" s="3">
        <f>Results!$O$16</f>
        <v>4</v>
      </c>
      <c r="AB312" s="11">
        <v>1</v>
      </c>
      <c r="AC312" s="3">
        <f t="shared" si="599"/>
        <v>4</v>
      </c>
      <c r="AD312" s="3" t="s">
        <v>107</v>
      </c>
      <c r="AE312" s="3">
        <f>Results!$O$21</f>
        <v>-3</v>
      </c>
      <c r="AF312" s="11"/>
      <c r="AG312" s="18">
        <f>AE312*AF312</f>
        <v>0</v>
      </c>
      <c r="AI312" s="3" t="s">
        <v>102</v>
      </c>
      <c r="AJ312" s="3">
        <f>Results!$O$6</f>
        <v>0</v>
      </c>
      <c r="AK312" s="11">
        <v>1</v>
      </c>
      <c r="AL312" s="3">
        <f t="shared" si="600"/>
        <v>0</v>
      </c>
      <c r="AM312" s="3" t="s">
        <v>12</v>
      </c>
      <c r="AN312" s="3">
        <f>Results!$O$11</f>
        <v>3</v>
      </c>
      <c r="AO312" s="11">
        <v>3</v>
      </c>
      <c r="AP312" s="3">
        <f t="shared" si="601"/>
        <v>9</v>
      </c>
      <c r="AQ312" s="3" t="s">
        <v>105</v>
      </c>
      <c r="AR312" s="3">
        <f>Results!$O$16</f>
        <v>4</v>
      </c>
      <c r="AS312" s="11">
        <v>1</v>
      </c>
      <c r="AT312" s="3">
        <f t="shared" si="602"/>
        <v>4</v>
      </c>
      <c r="AU312" s="3" t="s">
        <v>107</v>
      </c>
      <c r="AV312" s="3">
        <f>Results!$O$21</f>
        <v>-3</v>
      </c>
      <c r="AW312" s="11">
        <v>1</v>
      </c>
      <c r="AX312" s="18">
        <f>AV312*AW312</f>
        <v>-3</v>
      </c>
    </row>
    <row r="313" spans="1:50" ht="13.5" customHeight="1" x14ac:dyDescent="0.2">
      <c r="A313" s="14" t="s">
        <v>14</v>
      </c>
      <c r="B313" s="15" t="s">
        <v>51</v>
      </c>
      <c r="C313" s="16" t="s">
        <v>21</v>
      </c>
      <c r="D313" s="15" t="s">
        <v>49</v>
      </c>
      <c r="E313" s="15" t="s">
        <v>15</v>
      </c>
      <c r="F313" s="15" t="s">
        <v>51</v>
      </c>
      <c r="G313" s="16" t="s">
        <v>21</v>
      </c>
      <c r="H313" s="15" t="s">
        <v>49</v>
      </c>
      <c r="I313" s="15" t="s">
        <v>78</v>
      </c>
      <c r="J313" s="15" t="s">
        <v>51</v>
      </c>
      <c r="K313" s="16" t="s">
        <v>21</v>
      </c>
      <c r="L313" s="15" t="s">
        <v>49</v>
      </c>
      <c r="M313" s="15" t="s">
        <v>79</v>
      </c>
      <c r="N313" s="15" t="s">
        <v>51</v>
      </c>
      <c r="O313" s="16" t="s">
        <v>21</v>
      </c>
      <c r="P313" s="15" t="s">
        <v>49</v>
      </c>
      <c r="R313" s="14" t="s">
        <v>14</v>
      </c>
      <c r="S313" s="15" t="s">
        <v>51</v>
      </c>
      <c r="T313" s="16" t="s">
        <v>21</v>
      </c>
      <c r="U313" s="15" t="s">
        <v>49</v>
      </c>
      <c r="V313" s="15" t="s">
        <v>15</v>
      </c>
      <c r="W313" s="15" t="s">
        <v>51</v>
      </c>
      <c r="X313" s="16" t="s">
        <v>21</v>
      </c>
      <c r="Y313" s="15" t="s">
        <v>49</v>
      </c>
      <c r="Z313" s="15" t="s">
        <v>78</v>
      </c>
      <c r="AA313" s="15" t="s">
        <v>51</v>
      </c>
      <c r="AB313" s="16" t="s">
        <v>21</v>
      </c>
      <c r="AC313" s="15" t="s">
        <v>49</v>
      </c>
      <c r="AD313" s="15" t="s">
        <v>79</v>
      </c>
      <c r="AE313" s="15" t="s">
        <v>51</v>
      </c>
      <c r="AF313" s="16" t="s">
        <v>21</v>
      </c>
      <c r="AG313" s="15" t="s">
        <v>49</v>
      </c>
      <c r="AI313" s="14" t="s">
        <v>14</v>
      </c>
      <c r="AJ313" s="15" t="s">
        <v>51</v>
      </c>
      <c r="AK313" s="16" t="s">
        <v>21</v>
      </c>
      <c r="AL313" s="15" t="s">
        <v>49</v>
      </c>
      <c r="AM313" s="15" t="s">
        <v>15</v>
      </c>
      <c r="AN313" s="15" t="s">
        <v>51</v>
      </c>
      <c r="AO313" s="16" t="s">
        <v>21</v>
      </c>
      <c r="AP313" s="15" t="s">
        <v>49</v>
      </c>
      <c r="AQ313" s="15" t="s">
        <v>78</v>
      </c>
      <c r="AR313" s="15" t="s">
        <v>51</v>
      </c>
      <c r="AS313" s="16" t="s">
        <v>21</v>
      </c>
      <c r="AT313" s="15" t="s">
        <v>49</v>
      </c>
      <c r="AU313" s="15" t="s">
        <v>79</v>
      </c>
      <c r="AV313" s="15" t="s">
        <v>51</v>
      </c>
      <c r="AW313" s="16" t="s">
        <v>21</v>
      </c>
      <c r="AX313" s="15" t="s">
        <v>49</v>
      </c>
    </row>
    <row r="314" spans="1:50" ht="13.5" customHeight="1" x14ac:dyDescent="0.2">
      <c r="A314" s="3" t="s">
        <v>11</v>
      </c>
      <c r="B314" s="3">
        <f>Results!$O$23</f>
        <v>18</v>
      </c>
      <c r="C314" s="11">
        <v>3</v>
      </c>
      <c r="D314" s="3">
        <f t="shared" ref="D314:D317" si="603">B314*C314</f>
        <v>54</v>
      </c>
      <c r="E314" s="3" t="s">
        <v>57</v>
      </c>
      <c r="F314" s="3">
        <f>Results!$O$28</f>
        <v>2</v>
      </c>
      <c r="G314" s="11">
        <v>3</v>
      </c>
      <c r="H314" s="3">
        <f t="shared" ref="H314:H317" si="604">F314*G314</f>
        <v>6</v>
      </c>
      <c r="I314" s="3" t="s">
        <v>18</v>
      </c>
      <c r="J314" s="3">
        <f>Results!$O$33</f>
        <v>2</v>
      </c>
      <c r="K314" s="11">
        <v>3</v>
      </c>
      <c r="L314" s="3">
        <f t="shared" ref="L314:L317" si="605">J314*K314</f>
        <v>6</v>
      </c>
      <c r="M314" s="3" t="s">
        <v>17</v>
      </c>
      <c r="N314" s="3">
        <f>Results!$O$38</f>
        <v>2</v>
      </c>
      <c r="O314" s="11">
        <v>5</v>
      </c>
      <c r="P314" s="3">
        <f t="shared" ref="P314:P317" si="606">N314*O314</f>
        <v>10</v>
      </c>
      <c r="R314" s="3" t="s">
        <v>11</v>
      </c>
      <c r="S314" s="3">
        <f>Results!$O$23</f>
        <v>18</v>
      </c>
      <c r="T314" s="11">
        <v>3</v>
      </c>
      <c r="U314" s="3">
        <f t="shared" ref="U314:U317" si="607">S314*T314</f>
        <v>54</v>
      </c>
      <c r="V314" s="3" t="s">
        <v>57</v>
      </c>
      <c r="W314" s="3">
        <f>Results!$O$28</f>
        <v>2</v>
      </c>
      <c r="X314" s="11">
        <v>5</v>
      </c>
      <c r="Y314" s="3">
        <f t="shared" ref="Y314:Y317" si="608">W314*X314</f>
        <v>10</v>
      </c>
      <c r="Z314" s="3" t="s">
        <v>18</v>
      </c>
      <c r="AA314" s="3">
        <f>Results!$O$33</f>
        <v>2</v>
      </c>
      <c r="AB314" s="11">
        <v>2</v>
      </c>
      <c r="AC314" s="3">
        <f t="shared" ref="AC314:AC317" si="609">AA314*AB314</f>
        <v>4</v>
      </c>
      <c r="AD314" s="3" t="s">
        <v>17</v>
      </c>
      <c r="AE314" s="3">
        <f>Results!$O$38</f>
        <v>2</v>
      </c>
      <c r="AF314" s="11">
        <v>3</v>
      </c>
      <c r="AG314" s="3">
        <f t="shared" ref="AG314:AG317" si="610">AE314*AF314</f>
        <v>6</v>
      </c>
      <c r="AI314" s="3" t="s">
        <v>11</v>
      </c>
      <c r="AJ314" s="3">
        <f>Results!$O$23</f>
        <v>18</v>
      </c>
      <c r="AK314" s="11">
        <v>3</v>
      </c>
      <c r="AL314" s="3">
        <f t="shared" ref="AL314:AL317" si="611">AJ314*AK314</f>
        <v>54</v>
      </c>
      <c r="AM314" s="3" t="s">
        <v>57</v>
      </c>
      <c r="AN314" s="3">
        <f>Results!$O$28</f>
        <v>2</v>
      </c>
      <c r="AO314" s="11">
        <v>3</v>
      </c>
      <c r="AP314" s="3">
        <f t="shared" ref="AP314:AP317" si="612">AN314*AO314</f>
        <v>6</v>
      </c>
      <c r="AQ314" s="3" t="s">
        <v>18</v>
      </c>
      <c r="AR314" s="3">
        <f>Results!$O$33</f>
        <v>2</v>
      </c>
      <c r="AS314" s="11">
        <v>3</v>
      </c>
      <c r="AT314" s="3">
        <f t="shared" ref="AT314:AT317" si="613">AR314*AS314</f>
        <v>6</v>
      </c>
      <c r="AU314" s="3" t="s">
        <v>17</v>
      </c>
      <c r="AV314" s="3">
        <f>Results!$O$38</f>
        <v>2</v>
      </c>
      <c r="AW314" s="11">
        <v>3</v>
      </c>
      <c r="AX314" s="3">
        <f t="shared" ref="AX314:AX317" si="614">AV314*AW314</f>
        <v>6</v>
      </c>
    </row>
    <row r="315" spans="1:50" ht="13.5" customHeight="1" x14ac:dyDescent="0.2">
      <c r="A315" s="3" t="s">
        <v>108</v>
      </c>
      <c r="B315" s="3">
        <f>Results!$O$24</f>
        <v>-5</v>
      </c>
      <c r="C315" s="11"/>
      <c r="D315" s="3">
        <f t="shared" si="603"/>
        <v>0</v>
      </c>
      <c r="E315" s="3" t="s">
        <v>75</v>
      </c>
      <c r="F315" s="3">
        <f>Results!$O$29</f>
        <v>5</v>
      </c>
      <c r="G315" s="11">
        <v>2</v>
      </c>
      <c r="H315" s="3">
        <f t="shared" si="604"/>
        <v>10</v>
      </c>
      <c r="I315" s="3" t="s">
        <v>111</v>
      </c>
      <c r="J315" s="3">
        <f>Results!$O$34</f>
        <v>2</v>
      </c>
      <c r="K315" s="11">
        <v>2</v>
      </c>
      <c r="L315" s="3">
        <f t="shared" si="605"/>
        <v>4</v>
      </c>
      <c r="M315" s="3" t="s">
        <v>113</v>
      </c>
      <c r="N315" s="3">
        <f>Results!$O$39</f>
        <v>2</v>
      </c>
      <c r="O315" s="11">
        <v>1</v>
      </c>
      <c r="P315" s="3">
        <f t="shared" si="606"/>
        <v>2</v>
      </c>
      <c r="R315" s="3" t="s">
        <v>108</v>
      </c>
      <c r="S315" s="3">
        <f>Results!$O$24</f>
        <v>-5</v>
      </c>
      <c r="T315" s="11"/>
      <c r="U315" s="3">
        <f t="shared" si="607"/>
        <v>0</v>
      </c>
      <c r="V315" s="3" t="s">
        <v>75</v>
      </c>
      <c r="W315" s="3">
        <f>Results!$O$29</f>
        <v>5</v>
      </c>
      <c r="X315" s="11">
        <v>2</v>
      </c>
      <c r="Y315" s="3">
        <f t="shared" si="608"/>
        <v>10</v>
      </c>
      <c r="Z315" s="3" t="s">
        <v>111</v>
      </c>
      <c r="AA315" s="3">
        <f>Results!$O$34</f>
        <v>2</v>
      </c>
      <c r="AB315" s="11">
        <v>1</v>
      </c>
      <c r="AC315" s="3">
        <f t="shared" si="609"/>
        <v>2</v>
      </c>
      <c r="AD315" s="3" t="s">
        <v>113</v>
      </c>
      <c r="AE315" s="3">
        <f>Results!$O$39</f>
        <v>2</v>
      </c>
      <c r="AF315" s="11"/>
      <c r="AG315" s="3">
        <f t="shared" si="610"/>
        <v>0</v>
      </c>
      <c r="AI315" s="3" t="s">
        <v>108</v>
      </c>
      <c r="AJ315" s="3">
        <f>Results!$O$24</f>
        <v>-5</v>
      </c>
      <c r="AK315" s="11"/>
      <c r="AL315" s="3">
        <f t="shared" si="611"/>
        <v>0</v>
      </c>
      <c r="AM315" s="3" t="s">
        <v>75</v>
      </c>
      <c r="AN315" s="3">
        <f>Results!$O$29</f>
        <v>5</v>
      </c>
      <c r="AO315" s="11">
        <v>1</v>
      </c>
      <c r="AP315" s="3">
        <f t="shared" si="612"/>
        <v>5</v>
      </c>
      <c r="AQ315" s="3" t="s">
        <v>111</v>
      </c>
      <c r="AR315" s="3">
        <f>Results!$O$34</f>
        <v>2</v>
      </c>
      <c r="AS315" s="11">
        <v>2</v>
      </c>
      <c r="AT315" s="3">
        <f t="shared" si="613"/>
        <v>4</v>
      </c>
      <c r="AU315" s="3" t="s">
        <v>113</v>
      </c>
      <c r="AV315" s="3">
        <f>Results!$O$39</f>
        <v>2</v>
      </c>
      <c r="AW315" s="11"/>
      <c r="AX315" s="3">
        <f t="shared" si="614"/>
        <v>0</v>
      </c>
    </row>
    <row r="316" spans="1:50" ht="13.5" customHeight="1" x14ac:dyDescent="0.2">
      <c r="A316" s="3" t="s">
        <v>109</v>
      </c>
      <c r="B316" s="3">
        <f>Results!$O$25</f>
        <v>4</v>
      </c>
      <c r="C316" s="11">
        <v>1</v>
      </c>
      <c r="D316" s="3">
        <f t="shared" si="603"/>
        <v>4</v>
      </c>
      <c r="E316" s="3" t="s">
        <v>110</v>
      </c>
      <c r="F316" s="3">
        <f>Results!$O$30</f>
        <v>14</v>
      </c>
      <c r="G316" s="11">
        <v>1</v>
      </c>
      <c r="H316" s="3">
        <f t="shared" si="604"/>
        <v>14</v>
      </c>
      <c r="I316" s="3" t="s">
        <v>67</v>
      </c>
      <c r="J316" s="3">
        <f>Results!$O$35</f>
        <v>4</v>
      </c>
      <c r="K316" s="11"/>
      <c r="L316" s="3">
        <f t="shared" si="605"/>
        <v>0</v>
      </c>
      <c r="M316" s="3" t="s">
        <v>70</v>
      </c>
      <c r="N316" s="3">
        <f>Results!$O$40</f>
        <v>3</v>
      </c>
      <c r="O316" s="11">
        <v>2</v>
      </c>
      <c r="P316" s="3">
        <f t="shared" si="606"/>
        <v>6</v>
      </c>
      <c r="R316" s="3" t="s">
        <v>109</v>
      </c>
      <c r="S316" s="3">
        <f>Results!$O$25</f>
        <v>4</v>
      </c>
      <c r="T316" s="11">
        <v>1</v>
      </c>
      <c r="U316" s="3">
        <f t="shared" si="607"/>
        <v>4</v>
      </c>
      <c r="V316" s="3" t="s">
        <v>110</v>
      </c>
      <c r="W316" s="3">
        <f>Results!$O$30</f>
        <v>14</v>
      </c>
      <c r="X316" s="11">
        <v>3</v>
      </c>
      <c r="Y316" s="3">
        <f t="shared" si="608"/>
        <v>42</v>
      </c>
      <c r="Z316" s="3" t="s">
        <v>67</v>
      </c>
      <c r="AA316" s="3">
        <f>Results!$O$35</f>
        <v>4</v>
      </c>
      <c r="AB316" s="11"/>
      <c r="AC316" s="3">
        <f t="shared" si="609"/>
        <v>0</v>
      </c>
      <c r="AD316" s="3" t="s">
        <v>70</v>
      </c>
      <c r="AE316" s="3">
        <f>Results!$O$40</f>
        <v>3</v>
      </c>
      <c r="AF316" s="11">
        <v>1</v>
      </c>
      <c r="AG316" s="3">
        <f t="shared" si="610"/>
        <v>3</v>
      </c>
      <c r="AI316" s="3" t="s">
        <v>109</v>
      </c>
      <c r="AJ316" s="3">
        <f>Results!$O$25</f>
        <v>4</v>
      </c>
      <c r="AK316" s="11">
        <v>2</v>
      </c>
      <c r="AL316" s="3">
        <f t="shared" si="611"/>
        <v>8</v>
      </c>
      <c r="AM316" s="3" t="s">
        <v>110</v>
      </c>
      <c r="AN316" s="3">
        <f>Results!$O$30</f>
        <v>14</v>
      </c>
      <c r="AO316" s="11">
        <v>2</v>
      </c>
      <c r="AP316" s="3">
        <f t="shared" si="612"/>
        <v>28</v>
      </c>
      <c r="AQ316" s="3" t="s">
        <v>67</v>
      </c>
      <c r="AR316" s="3">
        <f>Results!$O$35</f>
        <v>4</v>
      </c>
      <c r="AS316" s="11"/>
      <c r="AT316" s="3">
        <f t="shared" si="613"/>
        <v>0</v>
      </c>
      <c r="AU316" s="3" t="s">
        <v>70</v>
      </c>
      <c r="AV316" s="3">
        <f>Results!$O$40</f>
        <v>3</v>
      </c>
      <c r="AW316" s="11">
        <v>1</v>
      </c>
      <c r="AX316" s="3">
        <f t="shared" si="614"/>
        <v>3</v>
      </c>
    </row>
    <row r="317" spans="1:50" ht="13.5" customHeight="1" x14ac:dyDescent="0.2">
      <c r="A317" s="24" t="s">
        <v>91</v>
      </c>
      <c r="B317" s="24">
        <f>Results!$O$26</f>
        <v>-2</v>
      </c>
      <c r="C317" s="25">
        <v>2</v>
      </c>
      <c r="D317" s="24">
        <f t="shared" si="603"/>
        <v>-4</v>
      </c>
      <c r="E317" s="24" t="s">
        <v>73</v>
      </c>
      <c r="F317" s="24">
        <f>Results!$O$31</f>
        <v>-4</v>
      </c>
      <c r="G317" s="25"/>
      <c r="H317" s="24">
        <f t="shared" si="604"/>
        <v>0</v>
      </c>
      <c r="I317" s="24" t="s">
        <v>112</v>
      </c>
      <c r="J317" s="24">
        <f>Results!$O$36</f>
        <v>5</v>
      </c>
      <c r="K317" s="25">
        <v>1</v>
      </c>
      <c r="L317" s="24">
        <f t="shared" si="605"/>
        <v>5</v>
      </c>
      <c r="M317" s="24" t="s">
        <v>84</v>
      </c>
      <c r="N317" s="24">
        <f>Results!$O$41</f>
        <v>4</v>
      </c>
      <c r="O317" s="25">
        <v>3</v>
      </c>
      <c r="P317" s="24">
        <f t="shared" si="606"/>
        <v>12</v>
      </c>
      <c r="R317" s="24" t="s">
        <v>91</v>
      </c>
      <c r="S317" s="24">
        <f>Results!$O$26</f>
        <v>-2</v>
      </c>
      <c r="T317" s="25">
        <v>2</v>
      </c>
      <c r="U317" s="24">
        <f t="shared" si="607"/>
        <v>-4</v>
      </c>
      <c r="V317" s="24" t="s">
        <v>73</v>
      </c>
      <c r="W317" s="24">
        <f>Results!$O$31</f>
        <v>-4</v>
      </c>
      <c r="X317" s="25">
        <v>1</v>
      </c>
      <c r="Y317" s="24">
        <f t="shared" si="608"/>
        <v>-4</v>
      </c>
      <c r="Z317" s="24" t="s">
        <v>112</v>
      </c>
      <c r="AA317" s="24">
        <f>Results!$O$36</f>
        <v>5</v>
      </c>
      <c r="AB317" s="25">
        <v>3</v>
      </c>
      <c r="AC317" s="24">
        <f t="shared" si="609"/>
        <v>15</v>
      </c>
      <c r="AD317" s="24" t="s">
        <v>84</v>
      </c>
      <c r="AE317" s="24">
        <f>Results!$O$41</f>
        <v>4</v>
      </c>
      <c r="AF317" s="25">
        <v>2</v>
      </c>
      <c r="AG317" s="24">
        <f t="shared" si="610"/>
        <v>8</v>
      </c>
      <c r="AI317" s="24" t="s">
        <v>91</v>
      </c>
      <c r="AJ317" s="24">
        <f>Results!$O$26</f>
        <v>-2</v>
      </c>
      <c r="AK317" s="25">
        <v>1</v>
      </c>
      <c r="AL317" s="24">
        <f t="shared" si="611"/>
        <v>-2</v>
      </c>
      <c r="AM317" s="24" t="s">
        <v>73</v>
      </c>
      <c r="AN317" s="24">
        <f>Results!$O$31</f>
        <v>-4</v>
      </c>
      <c r="AO317" s="25"/>
      <c r="AP317" s="24">
        <f t="shared" si="612"/>
        <v>0</v>
      </c>
      <c r="AQ317" s="24" t="s">
        <v>112</v>
      </c>
      <c r="AR317" s="24">
        <f>Results!$O$36</f>
        <v>5</v>
      </c>
      <c r="AS317" s="25">
        <v>1</v>
      </c>
      <c r="AT317" s="24">
        <f t="shared" si="613"/>
        <v>5</v>
      </c>
      <c r="AU317" s="24" t="s">
        <v>84</v>
      </c>
      <c r="AV317" s="24">
        <f>Results!$O$41</f>
        <v>4</v>
      </c>
      <c r="AW317" s="25">
        <v>2</v>
      </c>
      <c r="AX317" s="24">
        <f t="shared" si="614"/>
        <v>8</v>
      </c>
    </row>
    <row r="318" spans="1:50" ht="13.5" customHeight="1" x14ac:dyDescent="0.2">
      <c r="A318" s="14" t="s">
        <v>97</v>
      </c>
      <c r="B318" s="15" t="s">
        <v>51</v>
      </c>
      <c r="C318" s="16" t="s">
        <v>21</v>
      </c>
      <c r="D318" s="15" t="s">
        <v>49</v>
      </c>
      <c r="E318" s="15" t="s">
        <v>98</v>
      </c>
      <c r="F318" s="15" t="s">
        <v>51</v>
      </c>
      <c r="G318" s="16" t="s">
        <v>21</v>
      </c>
      <c r="H318" s="15" t="s">
        <v>49</v>
      </c>
      <c r="I318" s="15" t="s">
        <v>99</v>
      </c>
      <c r="J318" s="15" t="s">
        <v>51</v>
      </c>
      <c r="K318" s="16" t="s">
        <v>21</v>
      </c>
      <c r="L318" s="15" t="s">
        <v>49</v>
      </c>
      <c r="M318" s="15" t="s">
        <v>100</v>
      </c>
      <c r="N318" s="15" t="s">
        <v>51</v>
      </c>
      <c r="O318" s="16" t="s">
        <v>21</v>
      </c>
      <c r="P318" s="15" t="s">
        <v>49</v>
      </c>
      <c r="R318" s="14" t="s">
        <v>97</v>
      </c>
      <c r="S318" s="15" t="s">
        <v>51</v>
      </c>
      <c r="T318" s="16" t="s">
        <v>21</v>
      </c>
      <c r="U318" s="15" t="s">
        <v>49</v>
      </c>
      <c r="V318" s="15" t="s">
        <v>98</v>
      </c>
      <c r="W318" s="15" t="s">
        <v>51</v>
      </c>
      <c r="X318" s="16" t="s">
        <v>21</v>
      </c>
      <c r="Y318" s="15" t="s">
        <v>49</v>
      </c>
      <c r="Z318" s="15" t="s">
        <v>99</v>
      </c>
      <c r="AA318" s="15" t="s">
        <v>51</v>
      </c>
      <c r="AB318" s="16" t="s">
        <v>21</v>
      </c>
      <c r="AC318" s="15" t="s">
        <v>49</v>
      </c>
      <c r="AD318" s="15" t="s">
        <v>100</v>
      </c>
      <c r="AE318" s="15" t="s">
        <v>51</v>
      </c>
      <c r="AF318" s="16" t="s">
        <v>21</v>
      </c>
      <c r="AG318" s="15" t="s">
        <v>49</v>
      </c>
      <c r="AI318" s="14" t="s">
        <v>97</v>
      </c>
      <c r="AJ318" s="15" t="s">
        <v>51</v>
      </c>
      <c r="AK318" s="16" t="s">
        <v>21</v>
      </c>
      <c r="AL318" s="15" t="s">
        <v>49</v>
      </c>
      <c r="AM318" s="15" t="s">
        <v>98</v>
      </c>
      <c r="AN318" s="15" t="s">
        <v>51</v>
      </c>
      <c r="AO318" s="16" t="s">
        <v>21</v>
      </c>
      <c r="AP318" s="15" t="s">
        <v>49</v>
      </c>
      <c r="AQ318" s="15" t="s">
        <v>99</v>
      </c>
      <c r="AR318" s="15" t="s">
        <v>51</v>
      </c>
      <c r="AS318" s="16" t="s">
        <v>21</v>
      </c>
      <c r="AT318" s="15" t="s">
        <v>49</v>
      </c>
      <c r="AU318" s="15" t="s">
        <v>100</v>
      </c>
      <c r="AV318" s="15" t="s">
        <v>51</v>
      </c>
      <c r="AW318" s="16" t="s">
        <v>21</v>
      </c>
      <c r="AX318" s="15" t="s">
        <v>49</v>
      </c>
    </row>
    <row r="319" spans="1:50" ht="13.5" customHeight="1" x14ac:dyDescent="0.2">
      <c r="A319" s="3" t="s">
        <v>8</v>
      </c>
      <c r="B319" s="3">
        <f>Results!$O$43</f>
        <v>10</v>
      </c>
      <c r="C319" s="11">
        <v>3</v>
      </c>
      <c r="D319" s="3">
        <f t="shared" ref="D319:D322" si="615">B319*C319</f>
        <v>30</v>
      </c>
      <c r="E319" s="3" t="s">
        <v>69</v>
      </c>
      <c r="F319" s="3">
        <f>Results!$O$48</f>
        <v>11</v>
      </c>
      <c r="G319" s="11">
        <v>3</v>
      </c>
      <c r="H319" s="3">
        <f t="shared" ref="H319:H322" si="616">F319*G319</f>
        <v>33</v>
      </c>
      <c r="I319" s="3" t="s">
        <v>19</v>
      </c>
      <c r="J319" s="3">
        <f>Results!$O$53</f>
        <v>1</v>
      </c>
      <c r="K319" s="11">
        <v>3</v>
      </c>
      <c r="L319" s="3">
        <f t="shared" ref="L319:L322" si="617">J319*K319</f>
        <v>3</v>
      </c>
      <c r="M319" s="3" t="s">
        <v>10</v>
      </c>
      <c r="N319" s="3">
        <f>Results!$O$58</f>
        <v>11</v>
      </c>
      <c r="O319" s="11">
        <v>2</v>
      </c>
      <c r="P319" s="3">
        <f t="shared" ref="P319:P322" si="618">N319*O319</f>
        <v>22</v>
      </c>
      <c r="R319" s="3" t="s">
        <v>8</v>
      </c>
      <c r="S319" s="3">
        <f>Results!$O$43</f>
        <v>10</v>
      </c>
      <c r="T319" s="11">
        <v>3</v>
      </c>
      <c r="U319" s="3">
        <f t="shared" ref="U319:U322" si="619">S319*T319</f>
        <v>30</v>
      </c>
      <c r="V319" s="3" t="s">
        <v>69</v>
      </c>
      <c r="W319" s="3">
        <f>Results!$O$48</f>
        <v>11</v>
      </c>
      <c r="X319" s="11">
        <v>3</v>
      </c>
      <c r="Y319" s="3">
        <f t="shared" ref="Y319:Y322" si="620">W319*X319</f>
        <v>33</v>
      </c>
      <c r="Z319" s="3" t="s">
        <v>19</v>
      </c>
      <c r="AA319" s="3">
        <f>Results!$O$53</f>
        <v>1</v>
      </c>
      <c r="AB319" s="11">
        <v>3</v>
      </c>
      <c r="AC319" s="3">
        <f t="shared" ref="AC319:AC322" si="621">AA319*AB319</f>
        <v>3</v>
      </c>
      <c r="AD319" s="3" t="s">
        <v>10</v>
      </c>
      <c r="AE319" s="3">
        <f>Results!$O$58</f>
        <v>11</v>
      </c>
      <c r="AF319" s="11">
        <v>3</v>
      </c>
      <c r="AG319" s="3">
        <f t="shared" ref="AG319:AG322" si="622">AE319*AF319</f>
        <v>33</v>
      </c>
      <c r="AI319" s="3" t="s">
        <v>8</v>
      </c>
      <c r="AJ319" s="3">
        <f>Results!$O$43</f>
        <v>10</v>
      </c>
      <c r="AK319" s="11">
        <v>5</v>
      </c>
      <c r="AL319" s="3">
        <f t="shared" ref="AL319:AL322" si="623">AJ319*AK319</f>
        <v>50</v>
      </c>
      <c r="AM319" s="3" t="s">
        <v>69</v>
      </c>
      <c r="AN319" s="3">
        <f>Results!$O$48</f>
        <v>11</v>
      </c>
      <c r="AO319" s="11">
        <v>3</v>
      </c>
      <c r="AP319" s="3">
        <f t="shared" ref="AP319:AP322" si="624">AN319*AO319</f>
        <v>33</v>
      </c>
      <c r="AQ319" s="3" t="s">
        <v>19</v>
      </c>
      <c r="AR319" s="3">
        <f>Results!$O$53</f>
        <v>1</v>
      </c>
      <c r="AS319" s="11">
        <v>2</v>
      </c>
      <c r="AT319" s="3">
        <f t="shared" ref="AT319:AT322" si="625">AR319*AS319</f>
        <v>2</v>
      </c>
      <c r="AU319" s="3" t="s">
        <v>10</v>
      </c>
      <c r="AV319" s="3">
        <f>Results!$O$58</f>
        <v>11</v>
      </c>
      <c r="AW319" s="11">
        <v>3</v>
      </c>
      <c r="AX319" s="3">
        <f t="shared" ref="AX319:AX322" si="626">AV319*AW319</f>
        <v>33</v>
      </c>
    </row>
    <row r="320" spans="1:50" ht="13.5" customHeight="1" x14ac:dyDescent="0.2">
      <c r="A320" s="3" t="s">
        <v>66</v>
      </c>
      <c r="B320" s="3">
        <f>Results!$O$44</f>
        <v>-1</v>
      </c>
      <c r="C320" s="11">
        <v>1</v>
      </c>
      <c r="D320" s="3">
        <f t="shared" si="615"/>
        <v>-1</v>
      </c>
      <c r="E320" s="3" t="s">
        <v>116</v>
      </c>
      <c r="F320" s="3">
        <f>Results!$O$49</f>
        <v>-3</v>
      </c>
      <c r="G320" s="11">
        <v>1</v>
      </c>
      <c r="H320" s="3">
        <f t="shared" si="616"/>
        <v>-3</v>
      </c>
      <c r="I320" s="3" t="s">
        <v>119</v>
      </c>
      <c r="J320" s="3">
        <f>Results!$O$54</f>
        <v>3</v>
      </c>
      <c r="K320" s="11">
        <v>1</v>
      </c>
      <c r="L320" s="3">
        <f t="shared" si="617"/>
        <v>3</v>
      </c>
      <c r="M320" s="3" t="s">
        <v>16</v>
      </c>
      <c r="N320" s="3">
        <f>Results!$O$59</f>
        <v>0</v>
      </c>
      <c r="O320" s="11">
        <v>3</v>
      </c>
      <c r="P320" s="3">
        <f t="shared" si="618"/>
        <v>0</v>
      </c>
      <c r="R320" s="3" t="s">
        <v>66</v>
      </c>
      <c r="S320" s="3">
        <f>Results!$O$44</f>
        <v>-1</v>
      </c>
      <c r="T320" s="11"/>
      <c r="U320" s="3">
        <f t="shared" si="619"/>
        <v>0</v>
      </c>
      <c r="V320" s="3" t="s">
        <v>116</v>
      </c>
      <c r="W320" s="3">
        <f>Results!$O$49</f>
        <v>-3</v>
      </c>
      <c r="X320" s="11">
        <v>2</v>
      </c>
      <c r="Y320" s="3">
        <f t="shared" si="620"/>
        <v>-6</v>
      </c>
      <c r="Z320" s="3" t="s">
        <v>119</v>
      </c>
      <c r="AA320" s="3">
        <f>Results!$O$54</f>
        <v>3</v>
      </c>
      <c r="AB320" s="11">
        <v>1</v>
      </c>
      <c r="AC320" s="3">
        <f t="shared" si="621"/>
        <v>3</v>
      </c>
      <c r="AD320" s="3" t="s">
        <v>16</v>
      </c>
      <c r="AE320" s="3">
        <f>Results!$O$59</f>
        <v>0</v>
      </c>
      <c r="AF320" s="11">
        <v>2</v>
      </c>
      <c r="AG320" s="3">
        <f t="shared" si="622"/>
        <v>0</v>
      </c>
      <c r="AI320" s="3" t="s">
        <v>66</v>
      </c>
      <c r="AJ320" s="3">
        <f>Results!$O$44</f>
        <v>-1</v>
      </c>
      <c r="AK320" s="11">
        <v>3</v>
      </c>
      <c r="AL320" s="3">
        <f t="shared" si="623"/>
        <v>-3</v>
      </c>
      <c r="AM320" s="3" t="s">
        <v>116</v>
      </c>
      <c r="AN320" s="3">
        <f>Results!$O$49</f>
        <v>-3</v>
      </c>
      <c r="AO320" s="11">
        <v>2</v>
      </c>
      <c r="AP320" s="3">
        <f t="shared" si="624"/>
        <v>-6</v>
      </c>
      <c r="AQ320" s="3" t="s">
        <v>119</v>
      </c>
      <c r="AR320" s="3">
        <f>Results!$O$54</f>
        <v>3</v>
      </c>
      <c r="AS320" s="11">
        <v>1</v>
      </c>
      <c r="AT320" s="3">
        <f t="shared" si="625"/>
        <v>3</v>
      </c>
      <c r="AU320" s="3" t="s">
        <v>16</v>
      </c>
      <c r="AV320" s="3">
        <f>Results!$O$59</f>
        <v>0</v>
      </c>
      <c r="AW320" s="11"/>
      <c r="AX320" s="3">
        <f t="shared" si="626"/>
        <v>0</v>
      </c>
    </row>
    <row r="321" spans="1:50" ht="13.5" customHeight="1" x14ac:dyDescent="0.2">
      <c r="A321" s="3" t="s">
        <v>114</v>
      </c>
      <c r="B321" s="3">
        <f>Results!$O$45</f>
        <v>-3</v>
      </c>
      <c r="C321" s="11"/>
      <c r="D321" s="3">
        <f t="shared" si="615"/>
        <v>0</v>
      </c>
      <c r="E321" s="3" t="s">
        <v>117</v>
      </c>
      <c r="F321" s="3">
        <f>Results!$O$50</f>
        <v>9</v>
      </c>
      <c r="G321" s="11">
        <v>2</v>
      </c>
      <c r="H321" s="3">
        <f t="shared" si="616"/>
        <v>18</v>
      </c>
      <c r="I321" s="3" t="s">
        <v>120</v>
      </c>
      <c r="J321" s="3">
        <f>Results!$O$55</f>
        <v>-2</v>
      </c>
      <c r="K321" s="11"/>
      <c r="L321" s="3">
        <f t="shared" si="617"/>
        <v>0</v>
      </c>
      <c r="M321" s="3" t="s">
        <v>83</v>
      </c>
      <c r="N321" s="3">
        <f>Results!$O$60</f>
        <v>6</v>
      </c>
      <c r="O321" s="11"/>
      <c r="P321" s="3">
        <f t="shared" si="618"/>
        <v>0</v>
      </c>
      <c r="R321" s="3" t="s">
        <v>114</v>
      </c>
      <c r="S321" s="3">
        <f>Results!$O$45</f>
        <v>-3</v>
      </c>
      <c r="T321" s="11">
        <v>1</v>
      </c>
      <c r="U321" s="3">
        <f t="shared" si="619"/>
        <v>-3</v>
      </c>
      <c r="V321" s="3" t="s">
        <v>117</v>
      </c>
      <c r="W321" s="3">
        <f>Results!$O$50</f>
        <v>9</v>
      </c>
      <c r="X321" s="11">
        <v>1</v>
      </c>
      <c r="Y321" s="3">
        <f t="shared" si="620"/>
        <v>9</v>
      </c>
      <c r="Z321" s="3" t="s">
        <v>120</v>
      </c>
      <c r="AA321" s="3">
        <f>Results!$O$55</f>
        <v>-2</v>
      </c>
      <c r="AB321" s="11"/>
      <c r="AC321" s="3">
        <f t="shared" si="621"/>
        <v>0</v>
      </c>
      <c r="AD321" s="3" t="s">
        <v>83</v>
      </c>
      <c r="AE321" s="3">
        <f>Results!$O$60</f>
        <v>6</v>
      </c>
      <c r="AF321" s="11">
        <v>1</v>
      </c>
      <c r="AG321" s="3">
        <f t="shared" si="622"/>
        <v>6</v>
      </c>
      <c r="AI321" s="3" t="s">
        <v>114</v>
      </c>
      <c r="AJ321" s="3">
        <f>Results!$O$45</f>
        <v>-3</v>
      </c>
      <c r="AK321" s="11">
        <v>1</v>
      </c>
      <c r="AL321" s="3">
        <f t="shared" si="623"/>
        <v>-3</v>
      </c>
      <c r="AM321" s="3" t="s">
        <v>117</v>
      </c>
      <c r="AN321" s="3">
        <f>Results!$O$50</f>
        <v>9</v>
      </c>
      <c r="AO321" s="11">
        <v>1</v>
      </c>
      <c r="AP321" s="3">
        <f t="shared" si="624"/>
        <v>9</v>
      </c>
      <c r="AQ321" s="3" t="s">
        <v>120</v>
      </c>
      <c r="AR321" s="3">
        <f>Results!$O$55</f>
        <v>-2</v>
      </c>
      <c r="AS321" s="11"/>
      <c r="AT321" s="3">
        <f t="shared" si="625"/>
        <v>0</v>
      </c>
      <c r="AU321" s="3" t="s">
        <v>83</v>
      </c>
      <c r="AV321" s="3">
        <f>Results!$O$60</f>
        <v>6</v>
      </c>
      <c r="AW321" s="11">
        <v>2</v>
      </c>
      <c r="AX321" s="3">
        <f t="shared" si="626"/>
        <v>12</v>
      </c>
    </row>
    <row r="322" spans="1:50" ht="13.5" customHeight="1" thickBot="1" x14ac:dyDescent="0.25">
      <c r="A322" s="19" t="s">
        <v>115</v>
      </c>
      <c r="B322" s="19">
        <f>Results!$O$46</f>
        <v>12</v>
      </c>
      <c r="C322" s="20">
        <v>2</v>
      </c>
      <c r="D322" s="19">
        <f t="shared" si="615"/>
        <v>24</v>
      </c>
      <c r="E322" s="19" t="s">
        <v>118</v>
      </c>
      <c r="F322" s="19">
        <f>Results!$O$51</f>
        <v>-1</v>
      </c>
      <c r="G322" s="20"/>
      <c r="H322" s="19">
        <f t="shared" si="616"/>
        <v>0</v>
      </c>
      <c r="I322" s="19" t="s">
        <v>121</v>
      </c>
      <c r="J322" s="19">
        <f>Results!$O$56</f>
        <v>9</v>
      </c>
      <c r="K322" s="20">
        <v>2</v>
      </c>
      <c r="L322" s="19">
        <f t="shared" si="617"/>
        <v>18</v>
      </c>
      <c r="M322" s="19" t="s">
        <v>122</v>
      </c>
      <c r="N322" s="19">
        <f>Results!$O$61</f>
        <v>-3</v>
      </c>
      <c r="O322" s="20">
        <v>1</v>
      </c>
      <c r="P322" s="19">
        <f t="shared" si="618"/>
        <v>-3</v>
      </c>
      <c r="R322" s="19" t="s">
        <v>115</v>
      </c>
      <c r="S322" s="19">
        <f>Results!$O$46</f>
        <v>12</v>
      </c>
      <c r="T322" s="20">
        <v>2</v>
      </c>
      <c r="U322" s="19">
        <f t="shared" si="619"/>
        <v>24</v>
      </c>
      <c r="V322" s="19" t="s">
        <v>118</v>
      </c>
      <c r="W322" s="19">
        <f>Results!$O$51</f>
        <v>-1</v>
      </c>
      <c r="X322" s="20"/>
      <c r="Y322" s="19">
        <f t="shared" si="620"/>
        <v>0</v>
      </c>
      <c r="Z322" s="19" t="s">
        <v>121</v>
      </c>
      <c r="AA322" s="19">
        <f>Results!$O$56</f>
        <v>9</v>
      </c>
      <c r="AB322" s="20">
        <v>2</v>
      </c>
      <c r="AC322" s="19">
        <f t="shared" si="621"/>
        <v>18</v>
      </c>
      <c r="AD322" s="19" t="s">
        <v>122</v>
      </c>
      <c r="AE322" s="19">
        <f>Results!$O$61</f>
        <v>-3</v>
      </c>
      <c r="AF322" s="20"/>
      <c r="AG322" s="19">
        <f t="shared" si="622"/>
        <v>0</v>
      </c>
      <c r="AI322" s="19" t="s">
        <v>115</v>
      </c>
      <c r="AJ322" s="19">
        <f>Results!$O$46</f>
        <v>12</v>
      </c>
      <c r="AK322" s="20">
        <v>2</v>
      </c>
      <c r="AL322" s="19">
        <f t="shared" si="623"/>
        <v>24</v>
      </c>
      <c r="AM322" s="19" t="s">
        <v>118</v>
      </c>
      <c r="AN322" s="19">
        <f>Results!$O$51</f>
        <v>-1</v>
      </c>
      <c r="AO322" s="20"/>
      <c r="AP322" s="19">
        <f t="shared" si="624"/>
        <v>0</v>
      </c>
      <c r="AQ322" s="19" t="s">
        <v>121</v>
      </c>
      <c r="AR322" s="19">
        <f>Results!$O$56</f>
        <v>9</v>
      </c>
      <c r="AS322" s="20">
        <v>3</v>
      </c>
      <c r="AT322" s="19">
        <f t="shared" si="625"/>
        <v>27</v>
      </c>
      <c r="AU322" s="19" t="s">
        <v>122</v>
      </c>
      <c r="AV322" s="19">
        <f>Results!$O$61</f>
        <v>-3</v>
      </c>
      <c r="AW322" s="20">
        <v>1</v>
      </c>
      <c r="AX322" s="19">
        <f t="shared" si="626"/>
        <v>-3</v>
      </c>
    </row>
    <row r="323" spans="1:50" ht="13.5" customHeight="1" thickBot="1" x14ac:dyDescent="0.25">
      <c r="A323" s="35"/>
      <c r="B323" s="36"/>
      <c r="C323" s="37"/>
      <c r="D323" s="36"/>
      <c r="E323" s="36"/>
      <c r="F323" s="36"/>
      <c r="G323" s="37"/>
      <c r="H323" s="36"/>
      <c r="I323" s="36"/>
      <c r="J323" s="36"/>
      <c r="K323" s="37"/>
      <c r="L323" s="36"/>
      <c r="M323" s="36"/>
      <c r="N323" s="36"/>
      <c r="O323" s="37"/>
      <c r="P323" s="36"/>
      <c r="R323" s="35"/>
      <c r="S323" s="36"/>
      <c r="T323" s="37"/>
      <c r="U323" s="36"/>
      <c r="V323" s="36"/>
      <c r="W323" s="36"/>
      <c r="X323" s="37"/>
      <c r="Y323" s="36"/>
      <c r="Z323" s="36"/>
      <c r="AA323" s="36"/>
      <c r="AB323" s="37"/>
      <c r="AC323" s="36"/>
      <c r="AD323" s="36"/>
      <c r="AE323" s="36"/>
      <c r="AF323" s="37"/>
      <c r="AG323" s="36"/>
      <c r="AI323" s="35"/>
      <c r="AJ323" s="36"/>
      <c r="AK323" s="37"/>
      <c r="AL323" s="36"/>
      <c r="AM323" s="36"/>
      <c r="AN323" s="36"/>
      <c r="AO323" s="37"/>
      <c r="AP323" s="36"/>
      <c r="AQ323" s="36"/>
      <c r="AR323" s="36"/>
      <c r="AS323" s="37"/>
      <c r="AT323" s="36"/>
      <c r="AU323" s="36"/>
      <c r="AV323" s="36"/>
      <c r="AW323" s="37"/>
      <c r="AX323" s="36"/>
    </row>
    <row r="324" spans="1:50" ht="13.5" customHeight="1" x14ac:dyDescent="0.2">
      <c r="A324" s="12" t="s">
        <v>0</v>
      </c>
      <c r="B324" s="59" t="s">
        <v>172</v>
      </c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13" t="s">
        <v>50</v>
      </c>
      <c r="N324" s="61">
        <f>SUM(D326:D329,D331:D334,H326:H329, H331:H334,L326:L329,L331:L334,P326:P329,P331:P334,D336:D339,H336:H339,L336:L339,P336:P339)</f>
        <v>342</v>
      </c>
      <c r="O324" s="61"/>
      <c r="P324" s="66"/>
      <c r="R324" s="12" t="s">
        <v>0</v>
      </c>
      <c r="S324" s="59" t="s">
        <v>173</v>
      </c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13" t="s">
        <v>50</v>
      </c>
      <c r="AE324" s="61">
        <f>SUM(U326:U329,U331:U334,Y326:Y329, Y331:Y334,AC326:AC329,AC331:AC334,AG326:AG329,AG331:AG334,U336:U339,Y336:Y339,AC336:AC339,AG336:AG339)</f>
        <v>401</v>
      </c>
      <c r="AF324" s="61"/>
      <c r="AG324" s="66"/>
      <c r="AI324" s="12" t="s">
        <v>0</v>
      </c>
      <c r="AJ324" s="59" t="s">
        <v>174</v>
      </c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13" t="s">
        <v>50</v>
      </c>
      <c r="AV324" s="61">
        <f>SUM(AL326:AL329,AL331:AL334,AP326:AP329, AP331:AP334,AT326:AT329,AT331:AT334,AX326:AX329,AX331:AX334,AL336:AL339,AP336:AP339,AT336:AT339,AX336:AX339)</f>
        <v>366</v>
      </c>
      <c r="AW324" s="61"/>
      <c r="AX324" s="66"/>
    </row>
    <row r="325" spans="1:50" ht="13.5" customHeight="1" x14ac:dyDescent="0.2">
      <c r="A325" s="14" t="s">
        <v>3</v>
      </c>
      <c r="B325" s="15" t="s">
        <v>51</v>
      </c>
      <c r="C325" s="16" t="s">
        <v>21</v>
      </c>
      <c r="D325" s="15" t="s">
        <v>49</v>
      </c>
      <c r="E325" s="15" t="s">
        <v>6</v>
      </c>
      <c r="F325" s="15" t="s">
        <v>51</v>
      </c>
      <c r="G325" s="16" t="s">
        <v>21</v>
      </c>
      <c r="H325" s="15" t="s">
        <v>49</v>
      </c>
      <c r="I325" s="15" t="s">
        <v>7</v>
      </c>
      <c r="J325" s="15" t="s">
        <v>51</v>
      </c>
      <c r="K325" s="16" t="s">
        <v>21</v>
      </c>
      <c r="L325" s="15" t="s">
        <v>49</v>
      </c>
      <c r="M325" s="15" t="s">
        <v>13</v>
      </c>
      <c r="N325" s="15" t="s">
        <v>51</v>
      </c>
      <c r="O325" s="16" t="s">
        <v>21</v>
      </c>
      <c r="P325" s="17" t="s">
        <v>49</v>
      </c>
      <c r="R325" s="14" t="s">
        <v>3</v>
      </c>
      <c r="S325" s="15" t="s">
        <v>51</v>
      </c>
      <c r="T325" s="16" t="s">
        <v>21</v>
      </c>
      <c r="U325" s="15" t="s">
        <v>49</v>
      </c>
      <c r="V325" s="15" t="s">
        <v>6</v>
      </c>
      <c r="W325" s="15" t="s">
        <v>51</v>
      </c>
      <c r="X325" s="16" t="s">
        <v>21</v>
      </c>
      <c r="Y325" s="15" t="s">
        <v>49</v>
      </c>
      <c r="Z325" s="15" t="s">
        <v>7</v>
      </c>
      <c r="AA325" s="15" t="s">
        <v>51</v>
      </c>
      <c r="AB325" s="16" t="s">
        <v>21</v>
      </c>
      <c r="AC325" s="15" t="s">
        <v>49</v>
      </c>
      <c r="AD325" s="15" t="s">
        <v>13</v>
      </c>
      <c r="AE325" s="15" t="s">
        <v>51</v>
      </c>
      <c r="AF325" s="16" t="s">
        <v>21</v>
      </c>
      <c r="AG325" s="17" t="s">
        <v>49</v>
      </c>
      <c r="AI325" s="14" t="s">
        <v>3</v>
      </c>
      <c r="AJ325" s="15" t="s">
        <v>51</v>
      </c>
      <c r="AK325" s="16" t="s">
        <v>21</v>
      </c>
      <c r="AL325" s="15" t="s">
        <v>49</v>
      </c>
      <c r="AM325" s="15" t="s">
        <v>6</v>
      </c>
      <c r="AN325" s="15" t="s">
        <v>51</v>
      </c>
      <c r="AO325" s="16" t="s">
        <v>21</v>
      </c>
      <c r="AP325" s="15" t="s">
        <v>49</v>
      </c>
      <c r="AQ325" s="15" t="s">
        <v>7</v>
      </c>
      <c r="AR325" s="15" t="s">
        <v>51</v>
      </c>
      <c r="AS325" s="16" t="s">
        <v>21</v>
      </c>
      <c r="AT325" s="15" t="s">
        <v>49</v>
      </c>
      <c r="AU325" s="15" t="s">
        <v>13</v>
      </c>
      <c r="AV325" s="15" t="s">
        <v>51</v>
      </c>
      <c r="AW325" s="16" t="s">
        <v>21</v>
      </c>
      <c r="AX325" s="17" t="s">
        <v>49</v>
      </c>
    </row>
    <row r="326" spans="1:50" ht="13.5" customHeight="1" x14ac:dyDescent="0.2">
      <c r="A326" s="3" t="s">
        <v>71</v>
      </c>
      <c r="B326" s="3">
        <f>Results!$O$3</f>
        <v>3</v>
      </c>
      <c r="C326" s="11">
        <v>3</v>
      </c>
      <c r="D326" s="3">
        <f t="shared" ref="D326:D329" si="627">B326*C326</f>
        <v>9</v>
      </c>
      <c r="E326" s="3" t="s">
        <v>76</v>
      </c>
      <c r="F326" s="3">
        <f>Results!$O$8</f>
        <v>2</v>
      </c>
      <c r="G326" s="11">
        <v>1</v>
      </c>
      <c r="H326" s="3">
        <f t="shared" ref="H326:H329" si="628">F326*G326</f>
        <v>2</v>
      </c>
      <c r="I326" s="3" t="s">
        <v>80</v>
      </c>
      <c r="J326" s="3">
        <f>Results!$O$13</f>
        <v>2</v>
      </c>
      <c r="K326" s="11">
        <v>3</v>
      </c>
      <c r="L326" s="3">
        <f t="shared" ref="L326:L329" si="629">J326*K326</f>
        <v>6</v>
      </c>
      <c r="M326" s="3" t="s">
        <v>68</v>
      </c>
      <c r="N326" s="3">
        <f>Results!$O$18</f>
        <v>11</v>
      </c>
      <c r="O326" s="11">
        <v>2</v>
      </c>
      <c r="P326" s="18">
        <f>N326*O326</f>
        <v>22</v>
      </c>
      <c r="R326" s="3" t="s">
        <v>71</v>
      </c>
      <c r="S326" s="3">
        <f>Results!$O$3</f>
        <v>3</v>
      </c>
      <c r="T326" s="11">
        <v>3</v>
      </c>
      <c r="U326" s="3">
        <f t="shared" ref="U326:U329" si="630">S326*T326</f>
        <v>9</v>
      </c>
      <c r="V326" s="3" t="s">
        <v>76</v>
      </c>
      <c r="W326" s="3">
        <f>Results!$O$8</f>
        <v>2</v>
      </c>
      <c r="X326" s="11">
        <v>1</v>
      </c>
      <c r="Y326" s="3">
        <f t="shared" ref="Y326:Y329" si="631">W326*X326</f>
        <v>2</v>
      </c>
      <c r="Z326" s="3" t="s">
        <v>80</v>
      </c>
      <c r="AA326" s="3">
        <f>Results!$O$13</f>
        <v>2</v>
      </c>
      <c r="AB326" s="11">
        <v>3</v>
      </c>
      <c r="AC326" s="3">
        <f t="shared" ref="AC326:AC329" si="632">AA326*AB326</f>
        <v>6</v>
      </c>
      <c r="AD326" s="3" t="s">
        <v>68</v>
      </c>
      <c r="AE326" s="3">
        <f>Results!$O$18</f>
        <v>11</v>
      </c>
      <c r="AF326" s="11">
        <v>2</v>
      </c>
      <c r="AG326" s="18">
        <f>AE326*AF326</f>
        <v>22</v>
      </c>
      <c r="AI326" s="3" t="s">
        <v>71</v>
      </c>
      <c r="AJ326" s="3">
        <f>Results!$O$3</f>
        <v>3</v>
      </c>
      <c r="AK326" s="11">
        <v>3</v>
      </c>
      <c r="AL326" s="3">
        <f t="shared" ref="AL326:AL329" si="633">AJ326*AK326</f>
        <v>9</v>
      </c>
      <c r="AM326" s="3" t="s">
        <v>76</v>
      </c>
      <c r="AN326" s="3">
        <f>Results!$O$8</f>
        <v>2</v>
      </c>
      <c r="AO326" s="11">
        <v>2</v>
      </c>
      <c r="AP326" s="3">
        <f t="shared" ref="AP326:AP329" si="634">AN326*AO326</f>
        <v>4</v>
      </c>
      <c r="AQ326" s="3" t="s">
        <v>80</v>
      </c>
      <c r="AR326" s="3">
        <f>Results!$O$13</f>
        <v>2</v>
      </c>
      <c r="AS326" s="11">
        <v>3</v>
      </c>
      <c r="AT326" s="3">
        <f t="shared" ref="AT326:AT329" si="635">AR326*AS326</f>
        <v>6</v>
      </c>
      <c r="AU326" s="3" t="s">
        <v>68</v>
      </c>
      <c r="AV326" s="3">
        <f>Results!$O$18</f>
        <v>11</v>
      </c>
      <c r="AW326" s="11">
        <v>2</v>
      </c>
      <c r="AX326" s="18">
        <f>AV326*AW326</f>
        <v>22</v>
      </c>
    </row>
    <row r="327" spans="1:50" ht="13.5" customHeight="1" x14ac:dyDescent="0.2">
      <c r="A327" s="3" t="s">
        <v>123</v>
      </c>
      <c r="B327" s="3">
        <f>Results!$O$4</f>
        <v>-14</v>
      </c>
      <c r="C327" s="11"/>
      <c r="D327" s="3">
        <f t="shared" si="627"/>
        <v>0</v>
      </c>
      <c r="E327" s="3" t="s">
        <v>103</v>
      </c>
      <c r="F327" s="3">
        <f>Results!$O$9</f>
        <v>1</v>
      </c>
      <c r="G327" s="11">
        <v>2</v>
      </c>
      <c r="H327" s="3">
        <f t="shared" si="628"/>
        <v>2</v>
      </c>
      <c r="I327" s="3" t="s">
        <v>77</v>
      </c>
      <c r="J327" s="3">
        <f>Results!$O$14</f>
        <v>4</v>
      </c>
      <c r="K327" s="11">
        <v>2</v>
      </c>
      <c r="L327" s="3">
        <f t="shared" si="629"/>
        <v>8</v>
      </c>
      <c r="M327" s="3" t="s">
        <v>106</v>
      </c>
      <c r="N327" s="3">
        <f>Results!$O$19</f>
        <v>-7</v>
      </c>
      <c r="O327" s="11">
        <v>1</v>
      </c>
      <c r="P327" s="18">
        <f>N327*O327</f>
        <v>-7</v>
      </c>
      <c r="R327" s="3" t="s">
        <v>123</v>
      </c>
      <c r="S327" s="3">
        <f>Results!$O$4</f>
        <v>-14</v>
      </c>
      <c r="T327" s="11"/>
      <c r="U327" s="3">
        <f t="shared" si="630"/>
        <v>0</v>
      </c>
      <c r="V327" s="3" t="s">
        <v>103</v>
      </c>
      <c r="W327" s="3">
        <f>Results!$O$9</f>
        <v>1</v>
      </c>
      <c r="X327" s="11">
        <v>2</v>
      </c>
      <c r="Y327" s="3">
        <f t="shared" si="631"/>
        <v>2</v>
      </c>
      <c r="Z327" s="3" t="s">
        <v>77</v>
      </c>
      <c r="AA327" s="3">
        <f>Results!$O$14</f>
        <v>4</v>
      </c>
      <c r="AB327" s="11">
        <v>2</v>
      </c>
      <c r="AC327" s="3">
        <f t="shared" si="632"/>
        <v>8</v>
      </c>
      <c r="AD327" s="3" t="s">
        <v>106</v>
      </c>
      <c r="AE327" s="3">
        <f>Results!$O$19</f>
        <v>-7</v>
      </c>
      <c r="AF327" s="11"/>
      <c r="AG327" s="18">
        <f>AE327*AF327</f>
        <v>0</v>
      </c>
      <c r="AI327" s="3" t="s">
        <v>123</v>
      </c>
      <c r="AJ327" s="3">
        <f>Results!$O$4</f>
        <v>-14</v>
      </c>
      <c r="AK327" s="11"/>
      <c r="AL327" s="3">
        <f t="shared" si="633"/>
        <v>0</v>
      </c>
      <c r="AM327" s="3" t="s">
        <v>103</v>
      </c>
      <c r="AN327" s="3">
        <f>Results!$O$9</f>
        <v>1</v>
      </c>
      <c r="AO327" s="11">
        <v>1</v>
      </c>
      <c r="AP327" s="3">
        <f t="shared" si="634"/>
        <v>1</v>
      </c>
      <c r="AQ327" s="3" t="s">
        <v>77</v>
      </c>
      <c r="AR327" s="3">
        <f>Results!$O$14</f>
        <v>4</v>
      </c>
      <c r="AS327" s="11">
        <v>2</v>
      </c>
      <c r="AT327" s="3">
        <f t="shared" si="635"/>
        <v>8</v>
      </c>
      <c r="AU327" s="3" t="s">
        <v>106</v>
      </c>
      <c r="AV327" s="3">
        <f>Results!$O$19</f>
        <v>-7</v>
      </c>
      <c r="AW327" s="11"/>
      <c r="AX327" s="18">
        <f>AV327*AW327</f>
        <v>0</v>
      </c>
    </row>
    <row r="328" spans="1:50" ht="13.5" customHeight="1" x14ac:dyDescent="0.2">
      <c r="A328" s="3" t="s">
        <v>124</v>
      </c>
      <c r="B328" s="3">
        <f>Results!$O$5</f>
        <v>7</v>
      </c>
      <c r="C328" s="11">
        <v>1</v>
      </c>
      <c r="D328" s="3">
        <f t="shared" si="627"/>
        <v>7</v>
      </c>
      <c r="E328" s="3" t="s">
        <v>65</v>
      </c>
      <c r="F328" s="3">
        <f>Results!$O$10</f>
        <v>2</v>
      </c>
      <c r="G328" s="11"/>
      <c r="H328" s="3">
        <f t="shared" si="628"/>
        <v>0</v>
      </c>
      <c r="I328" s="3" t="s">
        <v>104</v>
      </c>
      <c r="J328" s="3">
        <f>Results!$O$15</f>
        <v>-2</v>
      </c>
      <c r="K328" s="11"/>
      <c r="L328" s="3">
        <f t="shared" si="629"/>
        <v>0</v>
      </c>
      <c r="M328" s="3" t="s">
        <v>72</v>
      </c>
      <c r="N328" s="3">
        <f>Results!$O$20</f>
        <v>9</v>
      </c>
      <c r="O328" s="11"/>
      <c r="P328" s="18">
        <f>N328*O328</f>
        <v>0</v>
      </c>
      <c r="R328" s="3" t="s">
        <v>124</v>
      </c>
      <c r="S328" s="3">
        <f>Results!$O$5</f>
        <v>7</v>
      </c>
      <c r="T328" s="11">
        <v>2</v>
      </c>
      <c r="U328" s="3">
        <f t="shared" si="630"/>
        <v>14</v>
      </c>
      <c r="V328" s="3" t="s">
        <v>65</v>
      </c>
      <c r="W328" s="3">
        <f>Results!$O$10</f>
        <v>2</v>
      </c>
      <c r="X328" s="11"/>
      <c r="Y328" s="3">
        <f t="shared" si="631"/>
        <v>0</v>
      </c>
      <c r="Z328" s="3" t="s">
        <v>104</v>
      </c>
      <c r="AA328" s="3">
        <f>Results!$O$15</f>
        <v>-2</v>
      </c>
      <c r="AB328" s="11"/>
      <c r="AC328" s="3">
        <f t="shared" si="632"/>
        <v>0</v>
      </c>
      <c r="AD328" s="3" t="s">
        <v>72</v>
      </c>
      <c r="AE328" s="3">
        <f>Results!$O$20</f>
        <v>9</v>
      </c>
      <c r="AF328" s="11">
        <v>3</v>
      </c>
      <c r="AG328" s="18">
        <f>AE328*AF328</f>
        <v>27</v>
      </c>
      <c r="AI328" s="3" t="s">
        <v>124</v>
      </c>
      <c r="AJ328" s="3">
        <f>Results!$O$5</f>
        <v>7</v>
      </c>
      <c r="AK328" s="11">
        <v>2</v>
      </c>
      <c r="AL328" s="3">
        <f t="shared" si="633"/>
        <v>14</v>
      </c>
      <c r="AM328" s="3" t="s">
        <v>65</v>
      </c>
      <c r="AN328" s="3">
        <f>Results!$O$10</f>
        <v>2</v>
      </c>
      <c r="AO328" s="11"/>
      <c r="AP328" s="3">
        <f t="shared" si="634"/>
        <v>0</v>
      </c>
      <c r="AQ328" s="3" t="s">
        <v>104</v>
      </c>
      <c r="AR328" s="3">
        <f>Results!$O$15</f>
        <v>-2</v>
      </c>
      <c r="AS328" s="11"/>
      <c r="AT328" s="3">
        <f t="shared" si="635"/>
        <v>0</v>
      </c>
      <c r="AU328" s="3" t="s">
        <v>72</v>
      </c>
      <c r="AV328" s="3">
        <f>Results!$O$20</f>
        <v>9</v>
      </c>
      <c r="AW328" s="11">
        <v>1</v>
      </c>
      <c r="AX328" s="18">
        <f>AV328*AW328</f>
        <v>9</v>
      </c>
    </row>
    <row r="329" spans="1:50" ht="13.5" customHeight="1" x14ac:dyDescent="0.2">
      <c r="A329" s="3" t="s">
        <v>102</v>
      </c>
      <c r="B329" s="3">
        <f>Results!$O$6</f>
        <v>0</v>
      </c>
      <c r="C329" s="11">
        <v>2</v>
      </c>
      <c r="D329" s="3">
        <f t="shared" si="627"/>
        <v>0</v>
      </c>
      <c r="E329" s="3" t="s">
        <v>12</v>
      </c>
      <c r="F329" s="3">
        <f>Results!$O$11</f>
        <v>3</v>
      </c>
      <c r="G329" s="11">
        <v>3</v>
      </c>
      <c r="H329" s="3">
        <f t="shared" si="628"/>
        <v>9</v>
      </c>
      <c r="I329" s="3" t="s">
        <v>105</v>
      </c>
      <c r="J329" s="3">
        <f>Results!$O$16</f>
        <v>4</v>
      </c>
      <c r="K329" s="11">
        <v>1</v>
      </c>
      <c r="L329" s="3">
        <f t="shared" si="629"/>
        <v>4</v>
      </c>
      <c r="M329" s="3" t="s">
        <v>107</v>
      </c>
      <c r="N329" s="3">
        <f>Results!$O$21</f>
        <v>-3</v>
      </c>
      <c r="O329" s="11">
        <v>3</v>
      </c>
      <c r="P329" s="18">
        <f>N329*O329</f>
        <v>-9</v>
      </c>
      <c r="R329" s="3" t="s">
        <v>102</v>
      </c>
      <c r="S329" s="3">
        <f>Results!$O$6</f>
        <v>0</v>
      </c>
      <c r="T329" s="11">
        <v>1</v>
      </c>
      <c r="U329" s="3">
        <f t="shared" si="630"/>
        <v>0</v>
      </c>
      <c r="V329" s="3" t="s">
        <v>12</v>
      </c>
      <c r="W329" s="3">
        <f>Results!$O$11</f>
        <v>3</v>
      </c>
      <c r="X329" s="11">
        <v>3</v>
      </c>
      <c r="Y329" s="3">
        <f t="shared" si="631"/>
        <v>9</v>
      </c>
      <c r="Z329" s="3" t="s">
        <v>105</v>
      </c>
      <c r="AA329" s="3">
        <f>Results!$O$16</f>
        <v>4</v>
      </c>
      <c r="AB329" s="11">
        <v>1</v>
      </c>
      <c r="AC329" s="3">
        <f t="shared" si="632"/>
        <v>4</v>
      </c>
      <c r="AD329" s="3" t="s">
        <v>107</v>
      </c>
      <c r="AE329" s="3">
        <f>Results!$O$21</f>
        <v>-3</v>
      </c>
      <c r="AF329" s="11">
        <v>1</v>
      </c>
      <c r="AG329" s="18">
        <f>AE329*AF329</f>
        <v>-3</v>
      </c>
      <c r="AI329" s="3" t="s">
        <v>102</v>
      </c>
      <c r="AJ329" s="3">
        <f>Results!$O$6</f>
        <v>0</v>
      </c>
      <c r="AK329" s="11">
        <v>1</v>
      </c>
      <c r="AL329" s="3">
        <f t="shared" si="633"/>
        <v>0</v>
      </c>
      <c r="AM329" s="3" t="s">
        <v>12</v>
      </c>
      <c r="AN329" s="3">
        <f>Results!$O$11</f>
        <v>3</v>
      </c>
      <c r="AO329" s="11">
        <v>3</v>
      </c>
      <c r="AP329" s="3">
        <f t="shared" si="634"/>
        <v>9</v>
      </c>
      <c r="AQ329" s="3" t="s">
        <v>105</v>
      </c>
      <c r="AR329" s="3">
        <f>Results!$O$16</f>
        <v>4</v>
      </c>
      <c r="AS329" s="11">
        <v>1</v>
      </c>
      <c r="AT329" s="3">
        <f t="shared" si="635"/>
        <v>4</v>
      </c>
      <c r="AU329" s="3" t="s">
        <v>107</v>
      </c>
      <c r="AV329" s="3">
        <f>Results!$O$21</f>
        <v>-3</v>
      </c>
      <c r="AW329" s="11">
        <v>3</v>
      </c>
      <c r="AX329" s="18">
        <f>AV329*AW329</f>
        <v>-9</v>
      </c>
    </row>
    <row r="330" spans="1:50" ht="13.5" customHeight="1" x14ac:dyDescent="0.2">
      <c r="A330" s="14" t="s">
        <v>14</v>
      </c>
      <c r="B330" s="15" t="s">
        <v>51</v>
      </c>
      <c r="C330" s="16" t="s">
        <v>21</v>
      </c>
      <c r="D330" s="15" t="s">
        <v>49</v>
      </c>
      <c r="E330" s="15" t="s">
        <v>15</v>
      </c>
      <c r="F330" s="15" t="s">
        <v>51</v>
      </c>
      <c r="G330" s="16" t="s">
        <v>21</v>
      </c>
      <c r="H330" s="15" t="s">
        <v>49</v>
      </c>
      <c r="I330" s="15" t="s">
        <v>78</v>
      </c>
      <c r="J330" s="15" t="s">
        <v>51</v>
      </c>
      <c r="K330" s="16" t="s">
        <v>21</v>
      </c>
      <c r="L330" s="15" t="s">
        <v>49</v>
      </c>
      <c r="M330" s="15" t="s">
        <v>79</v>
      </c>
      <c r="N330" s="15" t="s">
        <v>51</v>
      </c>
      <c r="O330" s="16" t="s">
        <v>21</v>
      </c>
      <c r="P330" s="15" t="s">
        <v>49</v>
      </c>
      <c r="R330" s="14" t="s">
        <v>14</v>
      </c>
      <c r="S330" s="15" t="s">
        <v>51</v>
      </c>
      <c r="T330" s="16" t="s">
        <v>21</v>
      </c>
      <c r="U330" s="15" t="s">
        <v>49</v>
      </c>
      <c r="V330" s="15" t="s">
        <v>15</v>
      </c>
      <c r="W330" s="15" t="s">
        <v>51</v>
      </c>
      <c r="X330" s="16" t="s">
        <v>21</v>
      </c>
      <c r="Y330" s="15" t="s">
        <v>49</v>
      </c>
      <c r="Z330" s="15" t="s">
        <v>78</v>
      </c>
      <c r="AA330" s="15" t="s">
        <v>51</v>
      </c>
      <c r="AB330" s="16" t="s">
        <v>21</v>
      </c>
      <c r="AC330" s="15" t="s">
        <v>49</v>
      </c>
      <c r="AD330" s="15" t="s">
        <v>79</v>
      </c>
      <c r="AE330" s="15" t="s">
        <v>51</v>
      </c>
      <c r="AF330" s="16" t="s">
        <v>21</v>
      </c>
      <c r="AG330" s="15" t="s">
        <v>49</v>
      </c>
      <c r="AI330" s="14" t="s">
        <v>14</v>
      </c>
      <c r="AJ330" s="15" t="s">
        <v>51</v>
      </c>
      <c r="AK330" s="16" t="s">
        <v>21</v>
      </c>
      <c r="AL330" s="15" t="s">
        <v>49</v>
      </c>
      <c r="AM330" s="15" t="s">
        <v>15</v>
      </c>
      <c r="AN330" s="15" t="s">
        <v>51</v>
      </c>
      <c r="AO330" s="16" t="s">
        <v>21</v>
      </c>
      <c r="AP330" s="15" t="s">
        <v>49</v>
      </c>
      <c r="AQ330" s="15" t="s">
        <v>78</v>
      </c>
      <c r="AR330" s="15" t="s">
        <v>51</v>
      </c>
      <c r="AS330" s="16" t="s">
        <v>21</v>
      </c>
      <c r="AT330" s="15" t="s">
        <v>49</v>
      </c>
      <c r="AU330" s="15" t="s">
        <v>79</v>
      </c>
      <c r="AV330" s="15" t="s">
        <v>51</v>
      </c>
      <c r="AW330" s="16" t="s">
        <v>21</v>
      </c>
      <c r="AX330" s="15" t="s">
        <v>49</v>
      </c>
    </row>
    <row r="331" spans="1:50" ht="13.5" customHeight="1" x14ac:dyDescent="0.2">
      <c r="A331" s="3" t="s">
        <v>11</v>
      </c>
      <c r="B331" s="3">
        <f>Results!$O$23</f>
        <v>18</v>
      </c>
      <c r="C331" s="11">
        <v>3</v>
      </c>
      <c r="D331" s="3">
        <f t="shared" ref="D331:D334" si="636">B331*C331</f>
        <v>54</v>
      </c>
      <c r="E331" s="3" t="s">
        <v>57</v>
      </c>
      <c r="F331" s="3">
        <f>Results!$O$28</f>
        <v>2</v>
      </c>
      <c r="G331" s="11">
        <v>3</v>
      </c>
      <c r="H331" s="3">
        <f t="shared" ref="H331:H334" si="637">F331*G331</f>
        <v>6</v>
      </c>
      <c r="I331" s="3" t="s">
        <v>18</v>
      </c>
      <c r="J331" s="3">
        <f>Results!$O$33</f>
        <v>2</v>
      </c>
      <c r="K331" s="11">
        <v>3</v>
      </c>
      <c r="L331" s="3">
        <f t="shared" ref="L331:L334" si="638">J331*K331</f>
        <v>6</v>
      </c>
      <c r="M331" s="3" t="s">
        <v>17</v>
      </c>
      <c r="N331" s="3">
        <f>Results!$O$38</f>
        <v>2</v>
      </c>
      <c r="O331" s="11">
        <v>5</v>
      </c>
      <c r="P331" s="3">
        <f t="shared" ref="P331:P334" si="639">N331*O331</f>
        <v>10</v>
      </c>
      <c r="R331" s="3" t="s">
        <v>11</v>
      </c>
      <c r="S331" s="3">
        <f>Results!$O$23</f>
        <v>18</v>
      </c>
      <c r="T331" s="11">
        <v>3</v>
      </c>
      <c r="U331" s="3">
        <f t="shared" ref="U331:U334" si="640">S331*T331</f>
        <v>54</v>
      </c>
      <c r="V331" s="3" t="s">
        <v>57</v>
      </c>
      <c r="W331" s="3">
        <f>Results!$O$28</f>
        <v>2</v>
      </c>
      <c r="X331" s="11">
        <v>3</v>
      </c>
      <c r="Y331" s="3">
        <f t="shared" ref="Y331:Y334" si="641">W331*X331</f>
        <v>6</v>
      </c>
      <c r="Z331" s="3" t="s">
        <v>18</v>
      </c>
      <c r="AA331" s="3">
        <f>Results!$O$33</f>
        <v>2</v>
      </c>
      <c r="AB331" s="11">
        <v>3</v>
      </c>
      <c r="AC331" s="3">
        <f t="shared" ref="AC331:AC334" si="642">AA331*AB331</f>
        <v>6</v>
      </c>
      <c r="AD331" s="3" t="s">
        <v>17</v>
      </c>
      <c r="AE331" s="3">
        <f>Results!$O$38</f>
        <v>2</v>
      </c>
      <c r="AF331" s="11">
        <v>5</v>
      </c>
      <c r="AG331" s="3">
        <f t="shared" ref="AG331:AG334" si="643">AE331*AF331</f>
        <v>10</v>
      </c>
      <c r="AI331" s="3" t="s">
        <v>11</v>
      </c>
      <c r="AJ331" s="3">
        <f>Results!$O$23</f>
        <v>18</v>
      </c>
      <c r="AK331" s="11">
        <v>3</v>
      </c>
      <c r="AL331" s="3">
        <f t="shared" ref="AL331:AL334" si="644">AJ331*AK331</f>
        <v>54</v>
      </c>
      <c r="AM331" s="3" t="s">
        <v>57</v>
      </c>
      <c r="AN331" s="3">
        <f>Results!$O$28</f>
        <v>2</v>
      </c>
      <c r="AO331" s="11">
        <v>3</v>
      </c>
      <c r="AP331" s="3">
        <f t="shared" ref="AP331:AP334" si="645">AN331*AO331</f>
        <v>6</v>
      </c>
      <c r="AQ331" s="3" t="s">
        <v>18</v>
      </c>
      <c r="AR331" s="3">
        <f>Results!$O$33</f>
        <v>2</v>
      </c>
      <c r="AS331" s="11">
        <v>3</v>
      </c>
      <c r="AT331" s="3">
        <f t="shared" ref="AT331:AT334" si="646">AR331*AS331</f>
        <v>6</v>
      </c>
      <c r="AU331" s="3" t="s">
        <v>17</v>
      </c>
      <c r="AV331" s="3">
        <f>Results!$O$38</f>
        <v>2</v>
      </c>
      <c r="AW331" s="11">
        <v>3</v>
      </c>
      <c r="AX331" s="3">
        <f t="shared" ref="AX331:AX334" si="647">AV331*AW331</f>
        <v>6</v>
      </c>
    </row>
    <row r="332" spans="1:50" ht="13.5" customHeight="1" x14ac:dyDescent="0.2">
      <c r="A332" s="3" t="s">
        <v>108</v>
      </c>
      <c r="B332" s="3">
        <f>Results!$O$24</f>
        <v>-5</v>
      </c>
      <c r="C332" s="11"/>
      <c r="D332" s="3">
        <f t="shared" si="636"/>
        <v>0</v>
      </c>
      <c r="E332" s="3" t="s">
        <v>75</v>
      </c>
      <c r="F332" s="3">
        <f>Results!$O$29</f>
        <v>5</v>
      </c>
      <c r="G332" s="11">
        <v>1</v>
      </c>
      <c r="H332" s="3">
        <f t="shared" si="637"/>
        <v>5</v>
      </c>
      <c r="I332" s="3" t="s">
        <v>111</v>
      </c>
      <c r="J332" s="3">
        <f>Results!$O$34</f>
        <v>2</v>
      </c>
      <c r="K332" s="11">
        <v>2</v>
      </c>
      <c r="L332" s="3">
        <f t="shared" si="638"/>
        <v>4</v>
      </c>
      <c r="M332" s="3" t="s">
        <v>113</v>
      </c>
      <c r="N332" s="3">
        <f>Results!$O$39</f>
        <v>2</v>
      </c>
      <c r="O332" s="11">
        <v>1</v>
      </c>
      <c r="P332" s="3">
        <f t="shared" si="639"/>
        <v>2</v>
      </c>
      <c r="R332" s="3" t="s">
        <v>108</v>
      </c>
      <c r="S332" s="3">
        <f>Results!$O$24</f>
        <v>-5</v>
      </c>
      <c r="T332" s="11"/>
      <c r="U332" s="3">
        <f t="shared" si="640"/>
        <v>0</v>
      </c>
      <c r="V332" s="3" t="s">
        <v>75</v>
      </c>
      <c r="W332" s="3">
        <f>Results!$O$29</f>
        <v>5</v>
      </c>
      <c r="X332" s="11">
        <v>1</v>
      </c>
      <c r="Y332" s="3">
        <f t="shared" si="641"/>
        <v>5</v>
      </c>
      <c r="Z332" s="3" t="s">
        <v>111</v>
      </c>
      <c r="AA332" s="3">
        <f>Results!$O$34</f>
        <v>2</v>
      </c>
      <c r="AB332" s="11">
        <v>2</v>
      </c>
      <c r="AC332" s="3">
        <f t="shared" si="642"/>
        <v>4</v>
      </c>
      <c r="AD332" s="3" t="s">
        <v>113</v>
      </c>
      <c r="AE332" s="3">
        <f>Results!$O$39</f>
        <v>2</v>
      </c>
      <c r="AF332" s="11">
        <v>1</v>
      </c>
      <c r="AG332" s="3">
        <f t="shared" si="643"/>
        <v>2</v>
      </c>
      <c r="AI332" s="3" t="s">
        <v>108</v>
      </c>
      <c r="AJ332" s="3">
        <f>Results!$O$24</f>
        <v>-5</v>
      </c>
      <c r="AK332" s="11"/>
      <c r="AL332" s="3">
        <f t="shared" si="644"/>
        <v>0</v>
      </c>
      <c r="AM332" s="3" t="s">
        <v>75</v>
      </c>
      <c r="AN332" s="3">
        <f>Results!$O$29</f>
        <v>5</v>
      </c>
      <c r="AO332" s="11">
        <v>2</v>
      </c>
      <c r="AP332" s="3">
        <f t="shared" si="645"/>
        <v>10</v>
      </c>
      <c r="AQ332" s="3" t="s">
        <v>111</v>
      </c>
      <c r="AR332" s="3">
        <f>Results!$O$34</f>
        <v>2</v>
      </c>
      <c r="AS332" s="11">
        <v>2</v>
      </c>
      <c r="AT332" s="3">
        <f t="shared" si="646"/>
        <v>4</v>
      </c>
      <c r="AU332" s="3" t="s">
        <v>113</v>
      </c>
      <c r="AV332" s="3">
        <f>Results!$O$39</f>
        <v>2</v>
      </c>
      <c r="AW332" s="11"/>
      <c r="AX332" s="3">
        <f t="shared" si="647"/>
        <v>0</v>
      </c>
    </row>
    <row r="333" spans="1:50" ht="13.5" customHeight="1" x14ac:dyDescent="0.2">
      <c r="A333" s="3" t="s">
        <v>109</v>
      </c>
      <c r="B333" s="3">
        <f>Results!$O$25</f>
        <v>4</v>
      </c>
      <c r="C333" s="11">
        <v>1</v>
      </c>
      <c r="D333" s="3">
        <f t="shared" si="636"/>
        <v>4</v>
      </c>
      <c r="E333" s="3" t="s">
        <v>110</v>
      </c>
      <c r="F333" s="3">
        <f>Results!$O$30</f>
        <v>14</v>
      </c>
      <c r="G333" s="11">
        <v>2</v>
      </c>
      <c r="H333" s="3">
        <f t="shared" si="637"/>
        <v>28</v>
      </c>
      <c r="I333" s="3" t="s">
        <v>67</v>
      </c>
      <c r="J333" s="3">
        <f>Results!$O$35</f>
        <v>4</v>
      </c>
      <c r="K333" s="11">
        <v>1</v>
      </c>
      <c r="L333" s="3">
        <f t="shared" si="638"/>
        <v>4</v>
      </c>
      <c r="M333" s="3" t="s">
        <v>70</v>
      </c>
      <c r="N333" s="3">
        <f>Results!$O$40</f>
        <v>3</v>
      </c>
      <c r="O333" s="11">
        <v>2</v>
      </c>
      <c r="P333" s="3">
        <f t="shared" si="639"/>
        <v>6</v>
      </c>
      <c r="R333" s="3" t="s">
        <v>109</v>
      </c>
      <c r="S333" s="3">
        <f>Results!$O$25</f>
        <v>4</v>
      </c>
      <c r="T333" s="11">
        <v>1</v>
      </c>
      <c r="U333" s="3">
        <f t="shared" si="640"/>
        <v>4</v>
      </c>
      <c r="V333" s="3" t="s">
        <v>110</v>
      </c>
      <c r="W333" s="3">
        <f>Results!$O$30</f>
        <v>14</v>
      </c>
      <c r="X333" s="11">
        <v>2</v>
      </c>
      <c r="Y333" s="3">
        <f t="shared" si="641"/>
        <v>28</v>
      </c>
      <c r="Z333" s="3" t="s">
        <v>67</v>
      </c>
      <c r="AA333" s="3">
        <f>Results!$O$35</f>
        <v>4</v>
      </c>
      <c r="AB333" s="11">
        <v>1</v>
      </c>
      <c r="AC333" s="3">
        <f t="shared" si="642"/>
        <v>4</v>
      </c>
      <c r="AD333" s="3" t="s">
        <v>70</v>
      </c>
      <c r="AE333" s="3">
        <f>Results!$O$40</f>
        <v>3</v>
      </c>
      <c r="AF333" s="11">
        <v>2</v>
      </c>
      <c r="AG333" s="3">
        <f t="shared" si="643"/>
        <v>6</v>
      </c>
      <c r="AI333" s="3" t="s">
        <v>109</v>
      </c>
      <c r="AJ333" s="3">
        <f>Results!$O$25</f>
        <v>4</v>
      </c>
      <c r="AK333" s="11">
        <v>1</v>
      </c>
      <c r="AL333" s="3">
        <f t="shared" si="644"/>
        <v>4</v>
      </c>
      <c r="AM333" s="3" t="s">
        <v>110</v>
      </c>
      <c r="AN333" s="3">
        <f>Results!$O$30</f>
        <v>14</v>
      </c>
      <c r="AO333" s="11">
        <v>1</v>
      </c>
      <c r="AP333" s="3">
        <f t="shared" si="645"/>
        <v>14</v>
      </c>
      <c r="AQ333" s="3" t="s">
        <v>67</v>
      </c>
      <c r="AR333" s="3">
        <f>Results!$O$35</f>
        <v>4</v>
      </c>
      <c r="AS333" s="11">
        <v>1</v>
      </c>
      <c r="AT333" s="3">
        <f t="shared" si="646"/>
        <v>4</v>
      </c>
      <c r="AU333" s="3" t="s">
        <v>70</v>
      </c>
      <c r="AV333" s="3">
        <f>Results!$O$40</f>
        <v>3</v>
      </c>
      <c r="AW333" s="11">
        <v>1</v>
      </c>
      <c r="AX333" s="3">
        <f t="shared" si="647"/>
        <v>3</v>
      </c>
    </row>
    <row r="334" spans="1:50" ht="13.5" customHeight="1" x14ac:dyDescent="0.2">
      <c r="A334" s="24" t="s">
        <v>91</v>
      </c>
      <c r="B334" s="24">
        <f>Results!$O$26</f>
        <v>-2</v>
      </c>
      <c r="C334" s="25">
        <v>2</v>
      </c>
      <c r="D334" s="24">
        <f t="shared" si="636"/>
        <v>-4</v>
      </c>
      <c r="E334" s="24" t="s">
        <v>73</v>
      </c>
      <c r="F334" s="24">
        <f>Results!$O$31</f>
        <v>-4</v>
      </c>
      <c r="G334" s="25"/>
      <c r="H334" s="24">
        <f t="shared" si="637"/>
        <v>0</v>
      </c>
      <c r="I334" s="24" t="s">
        <v>112</v>
      </c>
      <c r="J334" s="24">
        <f>Results!$O$36</f>
        <v>5</v>
      </c>
      <c r="K334" s="25"/>
      <c r="L334" s="24">
        <f t="shared" si="638"/>
        <v>0</v>
      </c>
      <c r="M334" s="24" t="s">
        <v>84</v>
      </c>
      <c r="N334" s="24">
        <f>Results!$O$41</f>
        <v>4</v>
      </c>
      <c r="O334" s="25">
        <v>3</v>
      </c>
      <c r="P334" s="24">
        <f t="shared" si="639"/>
        <v>12</v>
      </c>
      <c r="R334" s="24" t="s">
        <v>91</v>
      </c>
      <c r="S334" s="24">
        <f>Results!$O$26</f>
        <v>-2</v>
      </c>
      <c r="T334" s="25">
        <v>2</v>
      </c>
      <c r="U334" s="24">
        <f t="shared" si="640"/>
        <v>-4</v>
      </c>
      <c r="V334" s="24" t="s">
        <v>73</v>
      </c>
      <c r="W334" s="24">
        <f>Results!$O$31</f>
        <v>-4</v>
      </c>
      <c r="X334" s="25"/>
      <c r="Y334" s="24">
        <f t="shared" si="641"/>
        <v>0</v>
      </c>
      <c r="Z334" s="24" t="s">
        <v>112</v>
      </c>
      <c r="AA334" s="24">
        <f>Results!$O$36</f>
        <v>5</v>
      </c>
      <c r="AB334" s="25"/>
      <c r="AC334" s="24">
        <f t="shared" si="642"/>
        <v>0</v>
      </c>
      <c r="AD334" s="24" t="s">
        <v>84</v>
      </c>
      <c r="AE334" s="24">
        <f>Results!$O$41</f>
        <v>4</v>
      </c>
      <c r="AF334" s="25">
        <v>3</v>
      </c>
      <c r="AG334" s="24">
        <f t="shared" si="643"/>
        <v>12</v>
      </c>
      <c r="AI334" s="24" t="s">
        <v>91</v>
      </c>
      <c r="AJ334" s="24">
        <f>Results!$O$26</f>
        <v>-2</v>
      </c>
      <c r="AK334" s="25">
        <v>2</v>
      </c>
      <c r="AL334" s="24">
        <f t="shared" si="644"/>
        <v>-4</v>
      </c>
      <c r="AM334" s="24" t="s">
        <v>73</v>
      </c>
      <c r="AN334" s="24">
        <f>Results!$O$31</f>
        <v>-4</v>
      </c>
      <c r="AO334" s="25"/>
      <c r="AP334" s="24">
        <f t="shared" si="645"/>
        <v>0</v>
      </c>
      <c r="AQ334" s="24" t="s">
        <v>112</v>
      </c>
      <c r="AR334" s="24">
        <f>Results!$O$36</f>
        <v>5</v>
      </c>
      <c r="AS334" s="25"/>
      <c r="AT334" s="24">
        <f t="shared" si="646"/>
        <v>0</v>
      </c>
      <c r="AU334" s="24" t="s">
        <v>84</v>
      </c>
      <c r="AV334" s="24">
        <f>Results!$O$41</f>
        <v>4</v>
      </c>
      <c r="AW334" s="25">
        <v>2</v>
      </c>
      <c r="AX334" s="24">
        <f t="shared" si="647"/>
        <v>8</v>
      </c>
    </row>
    <row r="335" spans="1:50" ht="13.5" customHeight="1" x14ac:dyDescent="0.2">
      <c r="A335" s="14" t="s">
        <v>97</v>
      </c>
      <c r="B335" s="15" t="s">
        <v>51</v>
      </c>
      <c r="C335" s="16" t="s">
        <v>21</v>
      </c>
      <c r="D335" s="15" t="s">
        <v>49</v>
      </c>
      <c r="E335" s="15" t="s">
        <v>98</v>
      </c>
      <c r="F335" s="15" t="s">
        <v>51</v>
      </c>
      <c r="G335" s="16" t="s">
        <v>21</v>
      </c>
      <c r="H335" s="15" t="s">
        <v>49</v>
      </c>
      <c r="I335" s="15" t="s">
        <v>99</v>
      </c>
      <c r="J335" s="15" t="s">
        <v>51</v>
      </c>
      <c r="K335" s="16" t="s">
        <v>21</v>
      </c>
      <c r="L335" s="15" t="s">
        <v>49</v>
      </c>
      <c r="M335" s="15" t="s">
        <v>100</v>
      </c>
      <c r="N335" s="15" t="s">
        <v>51</v>
      </c>
      <c r="O335" s="16" t="s">
        <v>21</v>
      </c>
      <c r="P335" s="15" t="s">
        <v>49</v>
      </c>
      <c r="R335" s="14" t="s">
        <v>97</v>
      </c>
      <c r="S335" s="15" t="s">
        <v>51</v>
      </c>
      <c r="T335" s="16" t="s">
        <v>21</v>
      </c>
      <c r="U335" s="15" t="s">
        <v>49</v>
      </c>
      <c r="V335" s="15" t="s">
        <v>98</v>
      </c>
      <c r="W335" s="15" t="s">
        <v>51</v>
      </c>
      <c r="X335" s="16" t="s">
        <v>21</v>
      </c>
      <c r="Y335" s="15" t="s">
        <v>49</v>
      </c>
      <c r="Z335" s="15" t="s">
        <v>99</v>
      </c>
      <c r="AA335" s="15" t="s">
        <v>51</v>
      </c>
      <c r="AB335" s="16" t="s">
        <v>21</v>
      </c>
      <c r="AC335" s="15" t="s">
        <v>49</v>
      </c>
      <c r="AD335" s="15" t="s">
        <v>100</v>
      </c>
      <c r="AE335" s="15" t="s">
        <v>51</v>
      </c>
      <c r="AF335" s="16" t="s">
        <v>21</v>
      </c>
      <c r="AG335" s="15" t="s">
        <v>49</v>
      </c>
      <c r="AI335" s="14" t="s">
        <v>97</v>
      </c>
      <c r="AJ335" s="15" t="s">
        <v>51</v>
      </c>
      <c r="AK335" s="16" t="s">
        <v>21</v>
      </c>
      <c r="AL335" s="15" t="s">
        <v>49</v>
      </c>
      <c r="AM335" s="15" t="s">
        <v>98</v>
      </c>
      <c r="AN335" s="15" t="s">
        <v>51</v>
      </c>
      <c r="AO335" s="16" t="s">
        <v>21</v>
      </c>
      <c r="AP335" s="15" t="s">
        <v>49</v>
      </c>
      <c r="AQ335" s="15" t="s">
        <v>99</v>
      </c>
      <c r="AR335" s="15" t="s">
        <v>51</v>
      </c>
      <c r="AS335" s="16" t="s">
        <v>21</v>
      </c>
      <c r="AT335" s="15" t="s">
        <v>49</v>
      </c>
      <c r="AU335" s="15" t="s">
        <v>100</v>
      </c>
      <c r="AV335" s="15" t="s">
        <v>51</v>
      </c>
      <c r="AW335" s="16" t="s">
        <v>21</v>
      </c>
      <c r="AX335" s="15" t="s">
        <v>49</v>
      </c>
    </row>
    <row r="336" spans="1:50" ht="13.5" customHeight="1" x14ac:dyDescent="0.2">
      <c r="A336" s="3" t="s">
        <v>8</v>
      </c>
      <c r="B336" s="3">
        <f>Results!$O$43</f>
        <v>10</v>
      </c>
      <c r="C336" s="11">
        <v>3</v>
      </c>
      <c r="D336" s="3">
        <f t="shared" ref="D336:D339" si="648">B336*C336</f>
        <v>30</v>
      </c>
      <c r="E336" s="3" t="s">
        <v>69</v>
      </c>
      <c r="F336" s="3">
        <f>Results!$O$48</f>
        <v>11</v>
      </c>
      <c r="G336" s="11">
        <v>3</v>
      </c>
      <c r="H336" s="3">
        <f t="shared" ref="H336:H339" si="649">F336*G336</f>
        <v>33</v>
      </c>
      <c r="I336" s="3" t="s">
        <v>19</v>
      </c>
      <c r="J336" s="3">
        <f>Results!$O$53</f>
        <v>1</v>
      </c>
      <c r="K336" s="11">
        <v>3</v>
      </c>
      <c r="L336" s="3">
        <f t="shared" ref="L336:L339" si="650">J336*K336</f>
        <v>3</v>
      </c>
      <c r="M336" s="3" t="s">
        <v>10</v>
      </c>
      <c r="N336" s="3">
        <f>Results!$O$58</f>
        <v>11</v>
      </c>
      <c r="O336" s="11">
        <v>3</v>
      </c>
      <c r="P336" s="3">
        <f t="shared" ref="P336:P339" si="651">N336*O336</f>
        <v>33</v>
      </c>
      <c r="R336" s="3" t="s">
        <v>8</v>
      </c>
      <c r="S336" s="3">
        <f>Results!$O$43</f>
        <v>10</v>
      </c>
      <c r="T336" s="11">
        <v>3</v>
      </c>
      <c r="U336" s="3">
        <f t="shared" ref="U336:U339" si="652">S336*T336</f>
        <v>30</v>
      </c>
      <c r="V336" s="3" t="s">
        <v>69</v>
      </c>
      <c r="W336" s="3">
        <f>Results!$O$48</f>
        <v>11</v>
      </c>
      <c r="X336" s="11">
        <v>3</v>
      </c>
      <c r="Y336" s="3">
        <f t="shared" ref="Y336:Y339" si="653">W336*X336</f>
        <v>33</v>
      </c>
      <c r="Z336" s="3" t="s">
        <v>19</v>
      </c>
      <c r="AA336" s="3">
        <f>Results!$O$53</f>
        <v>1</v>
      </c>
      <c r="AB336" s="11">
        <v>3</v>
      </c>
      <c r="AC336" s="3">
        <f t="shared" ref="AC336:AC339" si="654">AA336*AB336</f>
        <v>3</v>
      </c>
      <c r="AD336" s="3" t="s">
        <v>10</v>
      </c>
      <c r="AE336" s="3">
        <f>Results!$O$58</f>
        <v>11</v>
      </c>
      <c r="AF336" s="11">
        <v>3</v>
      </c>
      <c r="AG336" s="3">
        <f t="shared" ref="AG336:AG339" si="655">AE336*AF336</f>
        <v>33</v>
      </c>
      <c r="AI336" s="3" t="s">
        <v>8</v>
      </c>
      <c r="AJ336" s="3">
        <f>Results!$O$43</f>
        <v>10</v>
      </c>
      <c r="AK336" s="11">
        <v>5</v>
      </c>
      <c r="AL336" s="3">
        <f t="shared" ref="AL336:AL339" si="656">AJ336*AK336</f>
        <v>50</v>
      </c>
      <c r="AM336" s="3" t="s">
        <v>69</v>
      </c>
      <c r="AN336" s="3">
        <f>Results!$O$48</f>
        <v>11</v>
      </c>
      <c r="AO336" s="11">
        <v>3</v>
      </c>
      <c r="AP336" s="3">
        <f t="shared" ref="AP336:AP339" si="657">AN336*AO336</f>
        <v>33</v>
      </c>
      <c r="AQ336" s="3" t="s">
        <v>19</v>
      </c>
      <c r="AR336" s="3">
        <f>Results!$O$53</f>
        <v>1</v>
      </c>
      <c r="AS336" s="11">
        <v>3</v>
      </c>
      <c r="AT336" s="3">
        <f t="shared" ref="AT336:AT339" si="658">AR336*AS336</f>
        <v>3</v>
      </c>
      <c r="AU336" s="3" t="s">
        <v>10</v>
      </c>
      <c r="AV336" s="3">
        <f>Results!$O$58</f>
        <v>11</v>
      </c>
      <c r="AW336" s="11">
        <v>3</v>
      </c>
      <c r="AX336" s="3">
        <f t="shared" ref="AX336:AX339" si="659">AV336*AW336</f>
        <v>33</v>
      </c>
    </row>
    <row r="337" spans="1:50" ht="13.5" customHeight="1" x14ac:dyDescent="0.2">
      <c r="A337" s="3" t="s">
        <v>66</v>
      </c>
      <c r="B337" s="3">
        <f>Results!$O$44</f>
        <v>-1</v>
      </c>
      <c r="C337" s="11">
        <v>1</v>
      </c>
      <c r="D337" s="3">
        <f t="shared" si="648"/>
        <v>-1</v>
      </c>
      <c r="E337" s="3" t="s">
        <v>116</v>
      </c>
      <c r="F337" s="3">
        <f>Results!$O$49</f>
        <v>-3</v>
      </c>
      <c r="G337" s="11">
        <v>2</v>
      </c>
      <c r="H337" s="3">
        <f t="shared" si="649"/>
        <v>-6</v>
      </c>
      <c r="I337" s="3" t="s">
        <v>119</v>
      </c>
      <c r="J337" s="3">
        <f>Results!$O$54</f>
        <v>3</v>
      </c>
      <c r="K337" s="11">
        <v>1</v>
      </c>
      <c r="L337" s="3">
        <f t="shared" si="650"/>
        <v>3</v>
      </c>
      <c r="M337" s="3" t="s">
        <v>16</v>
      </c>
      <c r="N337" s="3">
        <f>Results!$O$59</f>
        <v>0</v>
      </c>
      <c r="O337" s="11">
        <v>2</v>
      </c>
      <c r="P337" s="3">
        <f t="shared" si="651"/>
        <v>0</v>
      </c>
      <c r="R337" s="3" t="s">
        <v>66</v>
      </c>
      <c r="S337" s="3">
        <f>Results!$O$44</f>
        <v>-1</v>
      </c>
      <c r="T337" s="11">
        <v>1</v>
      </c>
      <c r="U337" s="3">
        <f t="shared" si="652"/>
        <v>-1</v>
      </c>
      <c r="V337" s="3" t="s">
        <v>116</v>
      </c>
      <c r="W337" s="3">
        <f>Results!$O$49</f>
        <v>-3</v>
      </c>
      <c r="X337" s="11">
        <v>1</v>
      </c>
      <c r="Y337" s="3">
        <f t="shared" si="653"/>
        <v>-3</v>
      </c>
      <c r="Z337" s="3" t="s">
        <v>119</v>
      </c>
      <c r="AA337" s="3">
        <f>Results!$O$54</f>
        <v>3</v>
      </c>
      <c r="AB337" s="11">
        <v>1</v>
      </c>
      <c r="AC337" s="3">
        <f t="shared" si="654"/>
        <v>3</v>
      </c>
      <c r="AD337" s="3" t="s">
        <v>16</v>
      </c>
      <c r="AE337" s="3">
        <f>Results!$O$59</f>
        <v>0</v>
      </c>
      <c r="AF337" s="11">
        <v>2</v>
      </c>
      <c r="AG337" s="3">
        <f t="shared" si="655"/>
        <v>0</v>
      </c>
      <c r="AI337" s="3" t="s">
        <v>66</v>
      </c>
      <c r="AJ337" s="3">
        <f>Results!$O$44</f>
        <v>-1</v>
      </c>
      <c r="AK337" s="11">
        <v>3</v>
      </c>
      <c r="AL337" s="3">
        <f t="shared" si="656"/>
        <v>-3</v>
      </c>
      <c r="AM337" s="3" t="s">
        <v>116</v>
      </c>
      <c r="AN337" s="3">
        <f>Results!$O$49</f>
        <v>-3</v>
      </c>
      <c r="AO337" s="11">
        <v>1</v>
      </c>
      <c r="AP337" s="3">
        <f t="shared" si="657"/>
        <v>-3</v>
      </c>
      <c r="AQ337" s="3" t="s">
        <v>119</v>
      </c>
      <c r="AR337" s="3">
        <f>Results!$O$54</f>
        <v>3</v>
      </c>
      <c r="AS337" s="11"/>
      <c r="AT337" s="3">
        <f t="shared" si="658"/>
        <v>0</v>
      </c>
      <c r="AU337" s="3" t="s">
        <v>16</v>
      </c>
      <c r="AV337" s="3">
        <f>Results!$O$59</f>
        <v>0</v>
      </c>
      <c r="AW337" s="11">
        <v>2</v>
      </c>
      <c r="AX337" s="3">
        <f t="shared" si="659"/>
        <v>0</v>
      </c>
    </row>
    <row r="338" spans="1:50" ht="13.5" customHeight="1" x14ac:dyDescent="0.2">
      <c r="A338" s="3" t="s">
        <v>114</v>
      </c>
      <c r="B338" s="3">
        <f>Results!$O$45</f>
        <v>-3</v>
      </c>
      <c r="C338" s="11"/>
      <c r="D338" s="3">
        <f t="shared" si="648"/>
        <v>0</v>
      </c>
      <c r="E338" s="3" t="s">
        <v>117</v>
      </c>
      <c r="F338" s="3">
        <f>Results!$O$50</f>
        <v>9</v>
      </c>
      <c r="G338" s="11">
        <v>1</v>
      </c>
      <c r="H338" s="3">
        <f t="shared" si="649"/>
        <v>9</v>
      </c>
      <c r="I338" s="3" t="s">
        <v>120</v>
      </c>
      <c r="J338" s="3">
        <f>Results!$O$55</f>
        <v>-2</v>
      </c>
      <c r="K338" s="11"/>
      <c r="L338" s="3">
        <f t="shared" si="650"/>
        <v>0</v>
      </c>
      <c r="M338" s="3" t="s">
        <v>83</v>
      </c>
      <c r="N338" s="3">
        <f>Results!$O$60</f>
        <v>6</v>
      </c>
      <c r="O338" s="11">
        <v>1</v>
      </c>
      <c r="P338" s="3">
        <f t="shared" si="651"/>
        <v>6</v>
      </c>
      <c r="R338" s="3" t="s">
        <v>114</v>
      </c>
      <c r="S338" s="3">
        <f>Results!$O$45</f>
        <v>-3</v>
      </c>
      <c r="T338" s="11"/>
      <c r="U338" s="3">
        <f t="shared" si="652"/>
        <v>0</v>
      </c>
      <c r="V338" s="3" t="s">
        <v>117</v>
      </c>
      <c r="W338" s="3">
        <f>Results!$O$50</f>
        <v>9</v>
      </c>
      <c r="X338" s="11">
        <v>2</v>
      </c>
      <c r="Y338" s="3">
        <f t="shared" si="653"/>
        <v>18</v>
      </c>
      <c r="Z338" s="3" t="s">
        <v>120</v>
      </c>
      <c r="AA338" s="3">
        <f>Results!$O$55</f>
        <v>-2</v>
      </c>
      <c r="AB338" s="11"/>
      <c r="AC338" s="3">
        <f t="shared" si="654"/>
        <v>0</v>
      </c>
      <c r="AD338" s="3" t="s">
        <v>83</v>
      </c>
      <c r="AE338" s="3">
        <f>Results!$O$60</f>
        <v>6</v>
      </c>
      <c r="AF338" s="11">
        <v>1</v>
      </c>
      <c r="AG338" s="3">
        <f t="shared" si="655"/>
        <v>6</v>
      </c>
      <c r="AI338" s="3" t="s">
        <v>114</v>
      </c>
      <c r="AJ338" s="3">
        <f>Results!$O$45</f>
        <v>-3</v>
      </c>
      <c r="AK338" s="11">
        <v>1</v>
      </c>
      <c r="AL338" s="3">
        <f t="shared" si="656"/>
        <v>-3</v>
      </c>
      <c r="AM338" s="3" t="s">
        <v>117</v>
      </c>
      <c r="AN338" s="3">
        <f>Results!$O$50</f>
        <v>9</v>
      </c>
      <c r="AO338" s="11">
        <v>2</v>
      </c>
      <c r="AP338" s="3">
        <f t="shared" si="657"/>
        <v>18</v>
      </c>
      <c r="AQ338" s="3" t="s">
        <v>120</v>
      </c>
      <c r="AR338" s="3">
        <f>Results!$O$55</f>
        <v>-2</v>
      </c>
      <c r="AS338" s="11">
        <v>1</v>
      </c>
      <c r="AT338" s="3">
        <f t="shared" si="658"/>
        <v>-2</v>
      </c>
      <c r="AU338" s="3" t="s">
        <v>83</v>
      </c>
      <c r="AV338" s="3">
        <f>Results!$O$60</f>
        <v>6</v>
      </c>
      <c r="AW338" s="11">
        <v>1</v>
      </c>
      <c r="AX338" s="3">
        <f t="shared" si="659"/>
        <v>6</v>
      </c>
    </row>
    <row r="339" spans="1:50" ht="13.5" customHeight="1" thickBot="1" x14ac:dyDescent="0.25">
      <c r="A339" s="19" t="s">
        <v>115</v>
      </c>
      <c r="B339" s="19">
        <f>Results!$O$46</f>
        <v>12</v>
      </c>
      <c r="C339" s="20">
        <v>2</v>
      </c>
      <c r="D339" s="19">
        <f t="shared" si="648"/>
        <v>24</v>
      </c>
      <c r="E339" s="19" t="s">
        <v>118</v>
      </c>
      <c r="F339" s="19">
        <f>Results!$O$51</f>
        <v>-1</v>
      </c>
      <c r="G339" s="20"/>
      <c r="H339" s="19">
        <f t="shared" si="649"/>
        <v>0</v>
      </c>
      <c r="I339" s="19" t="s">
        <v>121</v>
      </c>
      <c r="J339" s="19">
        <f>Results!$O$56</f>
        <v>9</v>
      </c>
      <c r="K339" s="20">
        <v>2</v>
      </c>
      <c r="L339" s="19">
        <f t="shared" si="650"/>
        <v>18</v>
      </c>
      <c r="M339" s="19" t="s">
        <v>122</v>
      </c>
      <c r="N339" s="19">
        <f>Results!$O$61</f>
        <v>-3</v>
      </c>
      <c r="O339" s="20"/>
      <c r="P339" s="19">
        <f t="shared" si="651"/>
        <v>0</v>
      </c>
      <c r="R339" s="19" t="s">
        <v>115</v>
      </c>
      <c r="S339" s="19">
        <f>Results!$O$46</f>
        <v>12</v>
      </c>
      <c r="T339" s="20">
        <v>2</v>
      </c>
      <c r="U339" s="19">
        <f t="shared" si="652"/>
        <v>24</v>
      </c>
      <c r="V339" s="19" t="s">
        <v>118</v>
      </c>
      <c r="W339" s="19">
        <f>Results!$O$51</f>
        <v>-1</v>
      </c>
      <c r="X339" s="20"/>
      <c r="Y339" s="19">
        <f t="shared" si="653"/>
        <v>0</v>
      </c>
      <c r="Z339" s="19" t="s">
        <v>121</v>
      </c>
      <c r="AA339" s="19">
        <f>Results!$O$56</f>
        <v>9</v>
      </c>
      <c r="AB339" s="20">
        <v>2</v>
      </c>
      <c r="AC339" s="19">
        <f t="shared" si="654"/>
        <v>18</v>
      </c>
      <c r="AD339" s="19" t="s">
        <v>122</v>
      </c>
      <c r="AE339" s="19">
        <f>Results!$O$61</f>
        <v>-3</v>
      </c>
      <c r="AF339" s="20"/>
      <c r="AG339" s="19">
        <f t="shared" si="655"/>
        <v>0</v>
      </c>
      <c r="AI339" s="19" t="s">
        <v>115</v>
      </c>
      <c r="AJ339" s="19">
        <f>Results!$O$46</f>
        <v>12</v>
      </c>
      <c r="AK339" s="20">
        <v>2</v>
      </c>
      <c r="AL339" s="19">
        <f t="shared" si="656"/>
        <v>24</v>
      </c>
      <c r="AM339" s="19" t="s">
        <v>118</v>
      </c>
      <c r="AN339" s="19">
        <f>Results!$O$51</f>
        <v>-1</v>
      </c>
      <c r="AO339" s="20"/>
      <c r="AP339" s="19">
        <f t="shared" si="657"/>
        <v>0</v>
      </c>
      <c r="AQ339" s="19" t="s">
        <v>121</v>
      </c>
      <c r="AR339" s="19">
        <f>Results!$O$56</f>
        <v>9</v>
      </c>
      <c r="AS339" s="20">
        <v>2</v>
      </c>
      <c r="AT339" s="19">
        <f t="shared" si="658"/>
        <v>18</v>
      </c>
      <c r="AU339" s="19" t="s">
        <v>122</v>
      </c>
      <c r="AV339" s="19">
        <f>Results!$O$61</f>
        <v>-3</v>
      </c>
      <c r="AW339" s="20"/>
      <c r="AX339" s="19">
        <f t="shared" si="659"/>
        <v>0</v>
      </c>
    </row>
    <row r="340" spans="1:50" ht="13.5" customHeight="1" thickBot="1" x14ac:dyDescent="0.25">
      <c r="A340" s="35"/>
      <c r="B340" s="36"/>
      <c r="C340" s="37"/>
      <c r="D340" s="36"/>
      <c r="E340" s="36"/>
      <c r="F340" s="36"/>
      <c r="G340" s="37"/>
      <c r="H340" s="36"/>
      <c r="I340" s="36"/>
      <c r="J340" s="36"/>
      <c r="K340" s="37"/>
      <c r="L340" s="36"/>
      <c r="M340" s="36"/>
      <c r="N340" s="36"/>
      <c r="O340" s="37"/>
      <c r="P340" s="36"/>
      <c r="R340" s="35"/>
      <c r="S340" s="36"/>
      <c r="T340" s="37"/>
      <c r="U340" s="36"/>
      <c r="V340" s="36"/>
      <c r="W340" s="36"/>
      <c r="X340" s="37"/>
      <c r="Y340" s="36"/>
      <c r="Z340" s="36"/>
      <c r="AA340" s="36"/>
      <c r="AB340" s="37"/>
      <c r="AC340" s="36"/>
      <c r="AD340" s="36"/>
      <c r="AE340" s="36"/>
      <c r="AF340" s="37"/>
      <c r="AG340" s="36"/>
      <c r="AI340" s="35"/>
      <c r="AJ340" s="36"/>
      <c r="AK340" s="37"/>
      <c r="AL340" s="36"/>
      <c r="AM340" s="36"/>
      <c r="AN340" s="36"/>
      <c r="AO340" s="37"/>
      <c r="AP340" s="36"/>
      <c r="AQ340" s="36"/>
      <c r="AR340" s="36"/>
      <c r="AS340" s="37"/>
      <c r="AT340" s="36"/>
      <c r="AU340" s="36"/>
      <c r="AV340" s="36"/>
      <c r="AW340" s="37"/>
      <c r="AX340" s="36"/>
    </row>
    <row r="341" spans="1:50" ht="13.5" customHeight="1" x14ac:dyDescent="0.2">
      <c r="A341" s="12" t="s">
        <v>0</v>
      </c>
      <c r="B341" s="59" t="s">
        <v>176</v>
      </c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13" t="s">
        <v>50</v>
      </c>
      <c r="N341" s="61">
        <f>SUM(D343:D346,D348:D351,H343:H346, H348:H351,L343:L346,L348:L351,P343:P346,P348:P351,D353:D356,H353:H356,L353:L356,P353:P356)</f>
        <v>344</v>
      </c>
      <c r="O341" s="61"/>
      <c r="P341" s="66"/>
      <c r="R341" s="12" t="s">
        <v>0</v>
      </c>
      <c r="S341" s="59" t="s">
        <v>175</v>
      </c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13" t="s">
        <v>50</v>
      </c>
      <c r="AE341" s="61">
        <f>SUM(U343:U346,U348:U351,Y343:Y346, Y348:Y351,AC343:AC346,AC348:AC351,AG343:AG346,AG348:AG351,U353:U356,Y353:Y356,AC353:AC356,AG353:AG356)</f>
        <v>363</v>
      </c>
      <c r="AF341" s="61"/>
      <c r="AG341" s="66"/>
      <c r="AI341" s="12" t="s">
        <v>0</v>
      </c>
      <c r="AJ341" s="59" t="s">
        <v>177</v>
      </c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13" t="s">
        <v>50</v>
      </c>
      <c r="AV341" s="61">
        <f>SUM(AL343:AL346,AL348:AL351,AP343:AP346, AP348:AP351,AT343:AT346,AT348:AT351,AX343:AX346,AX348:AX351,AL353:AL356,AP353:AP356,AT353:AT356,AX353:AX356)</f>
        <v>339</v>
      </c>
      <c r="AW341" s="61"/>
      <c r="AX341" s="66"/>
    </row>
    <row r="342" spans="1:50" ht="13.5" customHeight="1" x14ac:dyDescent="0.2">
      <c r="A342" s="14" t="s">
        <v>3</v>
      </c>
      <c r="B342" s="15" t="s">
        <v>51</v>
      </c>
      <c r="C342" s="16" t="s">
        <v>21</v>
      </c>
      <c r="D342" s="15" t="s">
        <v>49</v>
      </c>
      <c r="E342" s="15" t="s">
        <v>6</v>
      </c>
      <c r="F342" s="15" t="s">
        <v>51</v>
      </c>
      <c r="G342" s="16" t="s">
        <v>21</v>
      </c>
      <c r="H342" s="15" t="s">
        <v>49</v>
      </c>
      <c r="I342" s="15" t="s">
        <v>7</v>
      </c>
      <c r="J342" s="15" t="s">
        <v>51</v>
      </c>
      <c r="K342" s="16" t="s">
        <v>21</v>
      </c>
      <c r="L342" s="15" t="s">
        <v>49</v>
      </c>
      <c r="M342" s="15" t="s">
        <v>13</v>
      </c>
      <c r="N342" s="15" t="s">
        <v>51</v>
      </c>
      <c r="O342" s="16" t="s">
        <v>21</v>
      </c>
      <c r="P342" s="17" t="s">
        <v>49</v>
      </c>
      <c r="R342" s="14" t="s">
        <v>3</v>
      </c>
      <c r="S342" s="15" t="s">
        <v>51</v>
      </c>
      <c r="T342" s="16" t="s">
        <v>21</v>
      </c>
      <c r="U342" s="15" t="s">
        <v>49</v>
      </c>
      <c r="V342" s="15" t="s">
        <v>6</v>
      </c>
      <c r="W342" s="15" t="s">
        <v>51</v>
      </c>
      <c r="X342" s="16" t="s">
        <v>21</v>
      </c>
      <c r="Y342" s="15" t="s">
        <v>49</v>
      </c>
      <c r="Z342" s="15" t="s">
        <v>7</v>
      </c>
      <c r="AA342" s="15" t="s">
        <v>51</v>
      </c>
      <c r="AB342" s="16" t="s">
        <v>21</v>
      </c>
      <c r="AC342" s="15" t="s">
        <v>49</v>
      </c>
      <c r="AD342" s="15" t="s">
        <v>13</v>
      </c>
      <c r="AE342" s="15" t="s">
        <v>51</v>
      </c>
      <c r="AF342" s="16" t="s">
        <v>21</v>
      </c>
      <c r="AG342" s="17" t="s">
        <v>49</v>
      </c>
      <c r="AI342" s="14" t="s">
        <v>3</v>
      </c>
      <c r="AJ342" s="15" t="s">
        <v>51</v>
      </c>
      <c r="AK342" s="16" t="s">
        <v>21</v>
      </c>
      <c r="AL342" s="15" t="s">
        <v>49</v>
      </c>
      <c r="AM342" s="15" t="s">
        <v>6</v>
      </c>
      <c r="AN342" s="15" t="s">
        <v>51</v>
      </c>
      <c r="AO342" s="16" t="s">
        <v>21</v>
      </c>
      <c r="AP342" s="15" t="s">
        <v>49</v>
      </c>
      <c r="AQ342" s="15" t="s">
        <v>7</v>
      </c>
      <c r="AR342" s="15" t="s">
        <v>51</v>
      </c>
      <c r="AS342" s="16" t="s">
        <v>21</v>
      </c>
      <c r="AT342" s="15" t="s">
        <v>49</v>
      </c>
      <c r="AU342" s="15" t="s">
        <v>13</v>
      </c>
      <c r="AV342" s="15" t="s">
        <v>51</v>
      </c>
      <c r="AW342" s="16" t="s">
        <v>21</v>
      </c>
      <c r="AX342" s="17" t="s">
        <v>49</v>
      </c>
    </row>
    <row r="343" spans="1:50" ht="13.5" customHeight="1" x14ac:dyDescent="0.2">
      <c r="A343" s="3" t="s">
        <v>71</v>
      </c>
      <c r="B343" s="3">
        <f>Results!$O$3</f>
        <v>3</v>
      </c>
      <c r="C343" s="11">
        <v>3</v>
      </c>
      <c r="D343" s="3">
        <f t="shared" ref="D343:D346" si="660">B343*C343</f>
        <v>9</v>
      </c>
      <c r="E343" s="3" t="s">
        <v>76</v>
      </c>
      <c r="F343" s="3">
        <f>Results!$O$8</f>
        <v>2</v>
      </c>
      <c r="G343" s="11">
        <v>1</v>
      </c>
      <c r="H343" s="3">
        <f t="shared" ref="H343:H346" si="661">F343*G343</f>
        <v>2</v>
      </c>
      <c r="I343" s="3" t="s">
        <v>80</v>
      </c>
      <c r="J343" s="3">
        <f>Results!$O$13</f>
        <v>2</v>
      </c>
      <c r="K343" s="11">
        <v>3</v>
      </c>
      <c r="L343" s="3">
        <f t="shared" ref="L343:L346" si="662">J343*K343</f>
        <v>6</v>
      </c>
      <c r="M343" s="3" t="s">
        <v>68</v>
      </c>
      <c r="N343" s="3">
        <f>Results!$O$18</f>
        <v>11</v>
      </c>
      <c r="O343" s="11">
        <v>2</v>
      </c>
      <c r="P343" s="18">
        <f>N343*O343</f>
        <v>22</v>
      </c>
      <c r="R343" s="3" t="s">
        <v>71</v>
      </c>
      <c r="S343" s="3">
        <f>Results!$O$3</f>
        <v>3</v>
      </c>
      <c r="T343" s="11">
        <v>3</v>
      </c>
      <c r="U343" s="3">
        <f t="shared" ref="U343:U346" si="663">S343*T343</f>
        <v>9</v>
      </c>
      <c r="V343" s="3" t="s">
        <v>76</v>
      </c>
      <c r="W343" s="3">
        <f>Results!$O$8</f>
        <v>2</v>
      </c>
      <c r="X343" s="11">
        <v>2</v>
      </c>
      <c r="Y343" s="3">
        <f t="shared" ref="Y343:Y346" si="664">W343*X343</f>
        <v>4</v>
      </c>
      <c r="Z343" s="3" t="s">
        <v>80</v>
      </c>
      <c r="AA343" s="3">
        <f>Results!$O$13</f>
        <v>2</v>
      </c>
      <c r="AB343" s="11">
        <v>3</v>
      </c>
      <c r="AC343" s="3">
        <f t="shared" ref="AC343:AC346" si="665">AA343*AB343</f>
        <v>6</v>
      </c>
      <c r="AD343" s="3" t="s">
        <v>68</v>
      </c>
      <c r="AE343" s="3">
        <f>Results!$O$18</f>
        <v>11</v>
      </c>
      <c r="AF343" s="11">
        <v>1</v>
      </c>
      <c r="AG343" s="18">
        <f>AE343*AF343</f>
        <v>11</v>
      </c>
      <c r="AI343" s="3" t="s">
        <v>71</v>
      </c>
      <c r="AJ343" s="3">
        <f>Results!$O$3</f>
        <v>3</v>
      </c>
      <c r="AK343" s="11">
        <v>3</v>
      </c>
      <c r="AL343" s="3">
        <f t="shared" ref="AL343:AL346" si="666">AJ343*AK343</f>
        <v>9</v>
      </c>
      <c r="AM343" s="3" t="s">
        <v>76</v>
      </c>
      <c r="AN343" s="3">
        <f>Results!$O$8</f>
        <v>2</v>
      </c>
      <c r="AO343" s="11">
        <v>2</v>
      </c>
      <c r="AP343" s="3">
        <f t="shared" ref="AP343:AP346" si="667">AN343*AO343</f>
        <v>4</v>
      </c>
      <c r="AQ343" s="3" t="s">
        <v>80</v>
      </c>
      <c r="AR343" s="3">
        <f>Results!$O$13</f>
        <v>2</v>
      </c>
      <c r="AS343" s="11">
        <v>3</v>
      </c>
      <c r="AT343" s="3">
        <f t="shared" ref="AT343:AT346" si="668">AR343*AS343</f>
        <v>6</v>
      </c>
      <c r="AU343" s="3" t="s">
        <v>68</v>
      </c>
      <c r="AV343" s="3">
        <f>Results!$O$18</f>
        <v>11</v>
      </c>
      <c r="AW343" s="11">
        <v>1</v>
      </c>
      <c r="AX343" s="18">
        <f>AV343*AW343</f>
        <v>11</v>
      </c>
    </row>
    <row r="344" spans="1:50" ht="13.5" customHeight="1" x14ac:dyDescent="0.2">
      <c r="A344" s="3" t="s">
        <v>123</v>
      </c>
      <c r="B344" s="3">
        <f>Results!$O$4</f>
        <v>-14</v>
      </c>
      <c r="C344" s="11">
        <v>1</v>
      </c>
      <c r="D344" s="3">
        <f t="shared" si="660"/>
        <v>-14</v>
      </c>
      <c r="E344" s="3" t="s">
        <v>103</v>
      </c>
      <c r="F344" s="3">
        <f>Results!$O$9</f>
        <v>1</v>
      </c>
      <c r="G344" s="11">
        <v>2</v>
      </c>
      <c r="H344" s="3">
        <f t="shared" si="661"/>
        <v>2</v>
      </c>
      <c r="I344" s="3" t="s">
        <v>77</v>
      </c>
      <c r="J344" s="3">
        <f>Results!$O$14</f>
        <v>4</v>
      </c>
      <c r="K344" s="11">
        <v>2</v>
      </c>
      <c r="L344" s="3">
        <f t="shared" si="662"/>
        <v>8</v>
      </c>
      <c r="M344" s="3" t="s">
        <v>106</v>
      </c>
      <c r="N344" s="3">
        <f>Results!$O$19</f>
        <v>-7</v>
      </c>
      <c r="O344" s="11">
        <v>1</v>
      </c>
      <c r="P344" s="18">
        <f>N344*O344</f>
        <v>-7</v>
      </c>
      <c r="R344" s="3" t="s">
        <v>123</v>
      </c>
      <c r="S344" s="3">
        <f>Results!$O$4</f>
        <v>-14</v>
      </c>
      <c r="T344" s="11"/>
      <c r="U344" s="3">
        <f t="shared" si="663"/>
        <v>0</v>
      </c>
      <c r="V344" s="3" t="s">
        <v>103</v>
      </c>
      <c r="W344" s="3">
        <f>Results!$O$9</f>
        <v>1</v>
      </c>
      <c r="X344" s="11">
        <v>1</v>
      </c>
      <c r="Y344" s="3">
        <f t="shared" si="664"/>
        <v>1</v>
      </c>
      <c r="Z344" s="3" t="s">
        <v>77</v>
      </c>
      <c r="AA344" s="3">
        <f>Results!$O$14</f>
        <v>4</v>
      </c>
      <c r="AB344" s="11">
        <v>2</v>
      </c>
      <c r="AC344" s="3">
        <f t="shared" si="665"/>
        <v>8</v>
      </c>
      <c r="AD344" s="3" t="s">
        <v>106</v>
      </c>
      <c r="AE344" s="3">
        <f>Results!$O$19</f>
        <v>-7</v>
      </c>
      <c r="AF344" s="11"/>
      <c r="AG344" s="18">
        <f>AE344*AF344</f>
        <v>0</v>
      </c>
      <c r="AI344" s="3" t="s">
        <v>123</v>
      </c>
      <c r="AJ344" s="3">
        <f>Results!$O$4</f>
        <v>-14</v>
      </c>
      <c r="AK344" s="11"/>
      <c r="AL344" s="3">
        <f t="shared" si="666"/>
        <v>0</v>
      </c>
      <c r="AM344" s="3" t="s">
        <v>103</v>
      </c>
      <c r="AN344" s="3">
        <f>Results!$O$9</f>
        <v>1</v>
      </c>
      <c r="AO344" s="11">
        <v>1</v>
      </c>
      <c r="AP344" s="3">
        <f t="shared" si="667"/>
        <v>1</v>
      </c>
      <c r="AQ344" s="3" t="s">
        <v>77</v>
      </c>
      <c r="AR344" s="3">
        <f>Results!$O$14</f>
        <v>4</v>
      </c>
      <c r="AS344" s="11">
        <v>2</v>
      </c>
      <c r="AT344" s="3">
        <f t="shared" si="668"/>
        <v>8</v>
      </c>
      <c r="AU344" s="3" t="s">
        <v>106</v>
      </c>
      <c r="AV344" s="3">
        <f>Results!$O$19</f>
        <v>-7</v>
      </c>
      <c r="AW344" s="11">
        <v>2</v>
      </c>
      <c r="AX344" s="18">
        <f>AV344*AW344</f>
        <v>-14</v>
      </c>
    </row>
    <row r="345" spans="1:50" ht="13.5" customHeight="1" x14ac:dyDescent="0.2">
      <c r="A345" s="3" t="s">
        <v>124</v>
      </c>
      <c r="B345" s="3">
        <f>Results!$O$5</f>
        <v>7</v>
      </c>
      <c r="C345" s="11">
        <v>2</v>
      </c>
      <c r="D345" s="3">
        <f t="shared" si="660"/>
        <v>14</v>
      </c>
      <c r="E345" s="3" t="s">
        <v>65</v>
      </c>
      <c r="F345" s="3">
        <f>Results!$O$10</f>
        <v>2</v>
      </c>
      <c r="G345" s="11"/>
      <c r="H345" s="3">
        <f t="shared" si="661"/>
        <v>0</v>
      </c>
      <c r="I345" s="3" t="s">
        <v>104</v>
      </c>
      <c r="J345" s="3">
        <f>Results!$O$15</f>
        <v>-2</v>
      </c>
      <c r="K345" s="11"/>
      <c r="L345" s="3">
        <f t="shared" si="662"/>
        <v>0</v>
      </c>
      <c r="M345" s="3" t="s">
        <v>72</v>
      </c>
      <c r="N345" s="3">
        <f>Results!$O$20</f>
        <v>9</v>
      </c>
      <c r="O345" s="11"/>
      <c r="P345" s="18">
        <f>N345*O345</f>
        <v>0</v>
      </c>
      <c r="R345" s="3" t="s">
        <v>124</v>
      </c>
      <c r="S345" s="3">
        <f>Results!$O$5</f>
        <v>7</v>
      </c>
      <c r="T345" s="11">
        <v>1</v>
      </c>
      <c r="U345" s="3">
        <f t="shared" si="663"/>
        <v>7</v>
      </c>
      <c r="V345" s="3" t="s">
        <v>65</v>
      </c>
      <c r="W345" s="3">
        <f>Results!$O$10</f>
        <v>2</v>
      </c>
      <c r="X345" s="11"/>
      <c r="Y345" s="3">
        <f t="shared" si="664"/>
        <v>0</v>
      </c>
      <c r="Z345" s="3" t="s">
        <v>104</v>
      </c>
      <c r="AA345" s="3">
        <f>Results!$O$15</f>
        <v>-2</v>
      </c>
      <c r="AB345" s="11"/>
      <c r="AC345" s="3">
        <f t="shared" si="665"/>
        <v>0</v>
      </c>
      <c r="AD345" s="3" t="s">
        <v>72</v>
      </c>
      <c r="AE345" s="3">
        <f>Results!$O$20</f>
        <v>9</v>
      </c>
      <c r="AF345" s="11">
        <v>2</v>
      </c>
      <c r="AG345" s="18">
        <f>AE345*AF345</f>
        <v>18</v>
      </c>
      <c r="AI345" s="3" t="s">
        <v>124</v>
      </c>
      <c r="AJ345" s="3">
        <f>Results!$O$5</f>
        <v>7</v>
      </c>
      <c r="AK345" s="11">
        <v>2</v>
      </c>
      <c r="AL345" s="3">
        <f t="shared" si="666"/>
        <v>14</v>
      </c>
      <c r="AM345" s="3" t="s">
        <v>65</v>
      </c>
      <c r="AN345" s="3">
        <f>Results!$O$10</f>
        <v>2</v>
      </c>
      <c r="AO345" s="11"/>
      <c r="AP345" s="3">
        <f t="shared" si="667"/>
        <v>0</v>
      </c>
      <c r="AQ345" s="3" t="s">
        <v>104</v>
      </c>
      <c r="AR345" s="3">
        <f>Results!$O$15</f>
        <v>-2</v>
      </c>
      <c r="AS345" s="11"/>
      <c r="AT345" s="3">
        <f t="shared" si="668"/>
        <v>0</v>
      </c>
      <c r="AU345" s="3" t="s">
        <v>72</v>
      </c>
      <c r="AV345" s="3">
        <f>Results!$O$20</f>
        <v>9</v>
      </c>
      <c r="AW345" s="11"/>
      <c r="AX345" s="18">
        <f>AV345*AW345</f>
        <v>0</v>
      </c>
    </row>
    <row r="346" spans="1:50" ht="13.5" customHeight="1" x14ac:dyDescent="0.2">
      <c r="A346" s="3" t="s">
        <v>102</v>
      </c>
      <c r="B346" s="3">
        <f>Results!$O$6</f>
        <v>0</v>
      </c>
      <c r="C346" s="11"/>
      <c r="D346" s="3">
        <f t="shared" si="660"/>
        <v>0</v>
      </c>
      <c r="E346" s="3" t="s">
        <v>12</v>
      </c>
      <c r="F346" s="3">
        <f>Results!$O$11</f>
        <v>3</v>
      </c>
      <c r="G346" s="11">
        <v>3</v>
      </c>
      <c r="H346" s="3">
        <f t="shared" si="661"/>
        <v>9</v>
      </c>
      <c r="I346" s="3" t="s">
        <v>105</v>
      </c>
      <c r="J346" s="3">
        <f>Results!$O$16</f>
        <v>4</v>
      </c>
      <c r="K346" s="11">
        <v>1</v>
      </c>
      <c r="L346" s="3">
        <f t="shared" si="662"/>
        <v>4</v>
      </c>
      <c r="M346" s="3" t="s">
        <v>107</v>
      </c>
      <c r="N346" s="3">
        <f>Results!$O$21</f>
        <v>-3</v>
      </c>
      <c r="O346" s="11">
        <v>3</v>
      </c>
      <c r="P346" s="18">
        <f>N346*O346</f>
        <v>-9</v>
      </c>
      <c r="R346" s="3" t="s">
        <v>102</v>
      </c>
      <c r="S346" s="3">
        <f>Results!$O$6</f>
        <v>0</v>
      </c>
      <c r="T346" s="11">
        <v>2</v>
      </c>
      <c r="U346" s="3">
        <f t="shared" si="663"/>
        <v>0</v>
      </c>
      <c r="V346" s="3" t="s">
        <v>12</v>
      </c>
      <c r="W346" s="3">
        <f>Results!$O$11</f>
        <v>3</v>
      </c>
      <c r="X346" s="11">
        <v>3</v>
      </c>
      <c r="Y346" s="3">
        <f t="shared" si="664"/>
        <v>9</v>
      </c>
      <c r="Z346" s="3" t="s">
        <v>105</v>
      </c>
      <c r="AA346" s="3">
        <f>Results!$O$16</f>
        <v>4</v>
      </c>
      <c r="AB346" s="11">
        <v>1</v>
      </c>
      <c r="AC346" s="3">
        <f t="shared" si="665"/>
        <v>4</v>
      </c>
      <c r="AD346" s="3" t="s">
        <v>107</v>
      </c>
      <c r="AE346" s="3">
        <f>Results!$O$21</f>
        <v>-3</v>
      </c>
      <c r="AF346" s="11">
        <v>3</v>
      </c>
      <c r="AG346" s="18">
        <f>AE346*AF346</f>
        <v>-9</v>
      </c>
      <c r="AI346" s="3" t="s">
        <v>102</v>
      </c>
      <c r="AJ346" s="3">
        <f>Results!$O$6</f>
        <v>0</v>
      </c>
      <c r="AK346" s="11">
        <v>1</v>
      </c>
      <c r="AL346" s="3">
        <f t="shared" si="666"/>
        <v>0</v>
      </c>
      <c r="AM346" s="3" t="s">
        <v>12</v>
      </c>
      <c r="AN346" s="3">
        <f>Results!$O$11</f>
        <v>3</v>
      </c>
      <c r="AO346" s="11">
        <v>3</v>
      </c>
      <c r="AP346" s="3">
        <f t="shared" si="667"/>
        <v>9</v>
      </c>
      <c r="AQ346" s="3" t="s">
        <v>105</v>
      </c>
      <c r="AR346" s="3">
        <f>Results!$O$16</f>
        <v>4</v>
      </c>
      <c r="AS346" s="11">
        <v>1</v>
      </c>
      <c r="AT346" s="3">
        <f t="shared" si="668"/>
        <v>4</v>
      </c>
      <c r="AU346" s="3" t="s">
        <v>107</v>
      </c>
      <c r="AV346" s="3">
        <f>Results!$O$21</f>
        <v>-3</v>
      </c>
      <c r="AW346" s="11">
        <v>3</v>
      </c>
      <c r="AX346" s="18">
        <f>AV346*AW346</f>
        <v>-9</v>
      </c>
    </row>
    <row r="347" spans="1:50" ht="13.5" customHeight="1" x14ac:dyDescent="0.2">
      <c r="A347" s="14" t="s">
        <v>14</v>
      </c>
      <c r="B347" s="15" t="s">
        <v>51</v>
      </c>
      <c r="C347" s="16" t="s">
        <v>21</v>
      </c>
      <c r="D347" s="15" t="s">
        <v>49</v>
      </c>
      <c r="E347" s="15" t="s">
        <v>15</v>
      </c>
      <c r="F347" s="15" t="s">
        <v>51</v>
      </c>
      <c r="G347" s="16" t="s">
        <v>21</v>
      </c>
      <c r="H347" s="15" t="s">
        <v>49</v>
      </c>
      <c r="I347" s="15" t="s">
        <v>78</v>
      </c>
      <c r="J347" s="15" t="s">
        <v>51</v>
      </c>
      <c r="K347" s="16" t="s">
        <v>21</v>
      </c>
      <c r="L347" s="15" t="s">
        <v>49</v>
      </c>
      <c r="M347" s="15" t="s">
        <v>79</v>
      </c>
      <c r="N347" s="15" t="s">
        <v>51</v>
      </c>
      <c r="O347" s="16" t="s">
        <v>21</v>
      </c>
      <c r="P347" s="15" t="s">
        <v>49</v>
      </c>
      <c r="R347" s="14" t="s">
        <v>14</v>
      </c>
      <c r="S347" s="15" t="s">
        <v>51</v>
      </c>
      <c r="T347" s="16" t="s">
        <v>21</v>
      </c>
      <c r="U347" s="15" t="s">
        <v>49</v>
      </c>
      <c r="V347" s="15" t="s">
        <v>15</v>
      </c>
      <c r="W347" s="15" t="s">
        <v>51</v>
      </c>
      <c r="X347" s="16" t="s">
        <v>21</v>
      </c>
      <c r="Y347" s="15" t="s">
        <v>49</v>
      </c>
      <c r="Z347" s="15" t="s">
        <v>78</v>
      </c>
      <c r="AA347" s="15" t="s">
        <v>51</v>
      </c>
      <c r="AB347" s="16" t="s">
        <v>21</v>
      </c>
      <c r="AC347" s="15" t="s">
        <v>49</v>
      </c>
      <c r="AD347" s="15" t="s">
        <v>79</v>
      </c>
      <c r="AE347" s="15" t="s">
        <v>51</v>
      </c>
      <c r="AF347" s="16" t="s">
        <v>21</v>
      </c>
      <c r="AG347" s="15" t="s">
        <v>49</v>
      </c>
      <c r="AI347" s="14" t="s">
        <v>14</v>
      </c>
      <c r="AJ347" s="15" t="s">
        <v>51</v>
      </c>
      <c r="AK347" s="16" t="s">
        <v>21</v>
      </c>
      <c r="AL347" s="15" t="s">
        <v>49</v>
      </c>
      <c r="AM347" s="15" t="s">
        <v>15</v>
      </c>
      <c r="AN347" s="15" t="s">
        <v>51</v>
      </c>
      <c r="AO347" s="16" t="s">
        <v>21</v>
      </c>
      <c r="AP347" s="15" t="s">
        <v>49</v>
      </c>
      <c r="AQ347" s="15" t="s">
        <v>78</v>
      </c>
      <c r="AR347" s="15" t="s">
        <v>51</v>
      </c>
      <c r="AS347" s="16" t="s">
        <v>21</v>
      </c>
      <c r="AT347" s="15" t="s">
        <v>49</v>
      </c>
      <c r="AU347" s="15" t="s">
        <v>79</v>
      </c>
      <c r="AV347" s="15" t="s">
        <v>51</v>
      </c>
      <c r="AW347" s="16" t="s">
        <v>21</v>
      </c>
      <c r="AX347" s="15" t="s">
        <v>49</v>
      </c>
    </row>
    <row r="348" spans="1:50" ht="13.5" customHeight="1" x14ac:dyDescent="0.2">
      <c r="A348" s="3" t="s">
        <v>11</v>
      </c>
      <c r="B348" s="3">
        <f>Results!$O$23</f>
        <v>18</v>
      </c>
      <c r="C348" s="11">
        <v>3</v>
      </c>
      <c r="D348" s="3">
        <f t="shared" ref="D348:D351" si="669">B348*C348</f>
        <v>54</v>
      </c>
      <c r="E348" s="3" t="s">
        <v>57</v>
      </c>
      <c r="F348" s="3">
        <f>Results!$O$28</f>
        <v>2</v>
      </c>
      <c r="G348" s="11">
        <v>3</v>
      </c>
      <c r="H348" s="3">
        <f t="shared" ref="H348:H351" si="670">F348*G348</f>
        <v>6</v>
      </c>
      <c r="I348" s="3" t="s">
        <v>18</v>
      </c>
      <c r="J348" s="3">
        <f>Results!$O$33</f>
        <v>2</v>
      </c>
      <c r="K348" s="11">
        <v>3</v>
      </c>
      <c r="L348" s="3">
        <f t="shared" ref="L348:L351" si="671">J348*K348</f>
        <v>6</v>
      </c>
      <c r="M348" s="3" t="s">
        <v>17</v>
      </c>
      <c r="N348" s="3">
        <f>Results!$O$38</f>
        <v>2</v>
      </c>
      <c r="O348" s="11">
        <v>3</v>
      </c>
      <c r="P348" s="3">
        <f t="shared" ref="P348:P351" si="672">N348*O348</f>
        <v>6</v>
      </c>
      <c r="R348" s="3" t="s">
        <v>11</v>
      </c>
      <c r="S348" s="3">
        <f>Results!$O$23</f>
        <v>18</v>
      </c>
      <c r="T348" s="11">
        <v>3</v>
      </c>
      <c r="U348" s="3">
        <f t="shared" ref="U348:U351" si="673">S348*T348</f>
        <v>54</v>
      </c>
      <c r="V348" s="3" t="s">
        <v>57</v>
      </c>
      <c r="W348" s="3">
        <f>Results!$O$28</f>
        <v>2</v>
      </c>
      <c r="X348" s="11">
        <v>2</v>
      </c>
      <c r="Y348" s="3">
        <f t="shared" ref="Y348:Y351" si="674">W348*X348</f>
        <v>4</v>
      </c>
      <c r="Z348" s="3" t="s">
        <v>18</v>
      </c>
      <c r="AA348" s="3">
        <f>Results!$O$33</f>
        <v>2</v>
      </c>
      <c r="AB348" s="11">
        <v>3</v>
      </c>
      <c r="AC348" s="3">
        <f t="shared" ref="AC348:AC351" si="675">AA348*AB348</f>
        <v>6</v>
      </c>
      <c r="AD348" s="3" t="s">
        <v>17</v>
      </c>
      <c r="AE348" s="3">
        <f>Results!$O$38</f>
        <v>2</v>
      </c>
      <c r="AF348" s="11">
        <v>5</v>
      </c>
      <c r="AG348" s="3">
        <f t="shared" ref="AG348:AG351" si="676">AE348*AF348</f>
        <v>10</v>
      </c>
      <c r="AI348" s="3" t="s">
        <v>11</v>
      </c>
      <c r="AJ348" s="3">
        <f>Results!$O$23</f>
        <v>18</v>
      </c>
      <c r="AK348" s="11">
        <v>3</v>
      </c>
      <c r="AL348" s="3">
        <f t="shared" ref="AL348:AL351" si="677">AJ348*AK348</f>
        <v>54</v>
      </c>
      <c r="AM348" s="3" t="s">
        <v>57</v>
      </c>
      <c r="AN348" s="3">
        <f>Results!$O$28</f>
        <v>2</v>
      </c>
      <c r="AO348" s="11">
        <v>3</v>
      </c>
      <c r="AP348" s="3">
        <f t="shared" ref="AP348:AP351" si="678">AN348*AO348</f>
        <v>6</v>
      </c>
      <c r="AQ348" s="3" t="s">
        <v>18</v>
      </c>
      <c r="AR348" s="3">
        <f>Results!$O$33</f>
        <v>2</v>
      </c>
      <c r="AS348" s="11">
        <v>3</v>
      </c>
      <c r="AT348" s="3">
        <f t="shared" ref="AT348:AT351" si="679">AR348*AS348</f>
        <v>6</v>
      </c>
      <c r="AU348" s="3" t="s">
        <v>17</v>
      </c>
      <c r="AV348" s="3">
        <f>Results!$O$38</f>
        <v>2</v>
      </c>
      <c r="AW348" s="11">
        <v>5</v>
      </c>
      <c r="AX348" s="3">
        <f t="shared" ref="AX348:AX351" si="680">AV348*AW348</f>
        <v>10</v>
      </c>
    </row>
    <row r="349" spans="1:50" ht="13.5" customHeight="1" x14ac:dyDescent="0.2">
      <c r="A349" s="3" t="s">
        <v>108</v>
      </c>
      <c r="B349" s="3">
        <f>Results!$O$24</f>
        <v>-5</v>
      </c>
      <c r="C349" s="11"/>
      <c r="D349" s="3">
        <f t="shared" si="669"/>
        <v>0</v>
      </c>
      <c r="E349" s="3" t="s">
        <v>75</v>
      </c>
      <c r="F349" s="3">
        <f>Results!$O$29</f>
        <v>5</v>
      </c>
      <c r="G349" s="11">
        <v>1</v>
      </c>
      <c r="H349" s="3">
        <f t="shared" si="670"/>
        <v>5</v>
      </c>
      <c r="I349" s="3" t="s">
        <v>111</v>
      </c>
      <c r="J349" s="3">
        <f>Results!$O$34</f>
        <v>2</v>
      </c>
      <c r="K349" s="11">
        <v>2</v>
      </c>
      <c r="L349" s="3">
        <f t="shared" si="671"/>
        <v>4</v>
      </c>
      <c r="M349" s="3" t="s">
        <v>113</v>
      </c>
      <c r="N349" s="3">
        <f>Results!$O$39</f>
        <v>2</v>
      </c>
      <c r="O349" s="11"/>
      <c r="P349" s="3">
        <f t="shared" si="672"/>
        <v>0</v>
      </c>
      <c r="R349" s="3" t="s">
        <v>108</v>
      </c>
      <c r="S349" s="3">
        <f>Results!$O$24</f>
        <v>-5</v>
      </c>
      <c r="T349" s="11"/>
      <c r="U349" s="3">
        <f t="shared" si="673"/>
        <v>0</v>
      </c>
      <c r="V349" s="3" t="s">
        <v>75</v>
      </c>
      <c r="W349" s="3">
        <f>Results!$O$29</f>
        <v>5</v>
      </c>
      <c r="X349" s="11">
        <v>3</v>
      </c>
      <c r="Y349" s="3">
        <f t="shared" si="674"/>
        <v>15</v>
      </c>
      <c r="Z349" s="3" t="s">
        <v>111</v>
      </c>
      <c r="AA349" s="3">
        <f>Results!$O$34</f>
        <v>2</v>
      </c>
      <c r="AB349" s="11">
        <v>2</v>
      </c>
      <c r="AC349" s="3">
        <f t="shared" si="675"/>
        <v>4</v>
      </c>
      <c r="AD349" s="3" t="s">
        <v>113</v>
      </c>
      <c r="AE349" s="3">
        <f>Results!$O$39</f>
        <v>2</v>
      </c>
      <c r="AF349" s="11">
        <v>1</v>
      </c>
      <c r="AG349" s="3">
        <f t="shared" si="676"/>
        <v>2</v>
      </c>
      <c r="AI349" s="3" t="s">
        <v>108</v>
      </c>
      <c r="AJ349" s="3">
        <f>Results!$O$24</f>
        <v>-5</v>
      </c>
      <c r="AK349" s="11"/>
      <c r="AL349" s="3">
        <f t="shared" si="677"/>
        <v>0</v>
      </c>
      <c r="AM349" s="3" t="s">
        <v>75</v>
      </c>
      <c r="AN349" s="3">
        <f>Results!$O$29</f>
        <v>5</v>
      </c>
      <c r="AO349" s="11">
        <v>1</v>
      </c>
      <c r="AP349" s="3">
        <f t="shared" si="678"/>
        <v>5</v>
      </c>
      <c r="AQ349" s="3" t="s">
        <v>111</v>
      </c>
      <c r="AR349" s="3">
        <f>Results!$O$34</f>
        <v>2</v>
      </c>
      <c r="AS349" s="11">
        <v>2</v>
      </c>
      <c r="AT349" s="3">
        <f t="shared" si="679"/>
        <v>4</v>
      </c>
      <c r="AU349" s="3" t="s">
        <v>113</v>
      </c>
      <c r="AV349" s="3">
        <f>Results!$O$39</f>
        <v>2</v>
      </c>
      <c r="AW349" s="11">
        <v>1</v>
      </c>
      <c r="AX349" s="3">
        <f t="shared" si="680"/>
        <v>2</v>
      </c>
    </row>
    <row r="350" spans="1:50" ht="13.5" customHeight="1" x14ac:dyDescent="0.2">
      <c r="A350" s="3" t="s">
        <v>109</v>
      </c>
      <c r="B350" s="3">
        <f>Results!$O$25</f>
        <v>4</v>
      </c>
      <c r="C350" s="11">
        <v>1</v>
      </c>
      <c r="D350" s="3">
        <f t="shared" si="669"/>
        <v>4</v>
      </c>
      <c r="E350" s="3" t="s">
        <v>110</v>
      </c>
      <c r="F350" s="3">
        <f>Results!$O$30</f>
        <v>14</v>
      </c>
      <c r="G350" s="11">
        <v>2</v>
      </c>
      <c r="H350" s="3">
        <f t="shared" si="670"/>
        <v>28</v>
      </c>
      <c r="I350" s="3" t="s">
        <v>67</v>
      </c>
      <c r="J350" s="3">
        <f>Results!$O$35</f>
        <v>4</v>
      </c>
      <c r="K350" s="11">
        <v>1</v>
      </c>
      <c r="L350" s="3">
        <f t="shared" si="671"/>
        <v>4</v>
      </c>
      <c r="M350" s="3" t="s">
        <v>70</v>
      </c>
      <c r="N350" s="3">
        <f>Results!$O$40</f>
        <v>3</v>
      </c>
      <c r="O350" s="11">
        <v>1</v>
      </c>
      <c r="P350" s="3">
        <f t="shared" si="672"/>
        <v>3</v>
      </c>
      <c r="R350" s="3" t="s">
        <v>109</v>
      </c>
      <c r="S350" s="3">
        <f>Results!$O$25</f>
        <v>4</v>
      </c>
      <c r="T350" s="11">
        <v>1</v>
      </c>
      <c r="U350" s="3">
        <f t="shared" si="673"/>
        <v>4</v>
      </c>
      <c r="V350" s="3" t="s">
        <v>110</v>
      </c>
      <c r="W350" s="3">
        <f>Results!$O$30</f>
        <v>14</v>
      </c>
      <c r="X350" s="11">
        <v>1</v>
      </c>
      <c r="Y350" s="3">
        <f t="shared" si="674"/>
        <v>14</v>
      </c>
      <c r="Z350" s="3" t="s">
        <v>67</v>
      </c>
      <c r="AA350" s="3">
        <f>Results!$O$35</f>
        <v>4</v>
      </c>
      <c r="AB350" s="11">
        <v>1</v>
      </c>
      <c r="AC350" s="3">
        <f t="shared" si="675"/>
        <v>4</v>
      </c>
      <c r="AD350" s="3" t="s">
        <v>70</v>
      </c>
      <c r="AE350" s="3">
        <f>Results!$O$40</f>
        <v>3</v>
      </c>
      <c r="AF350" s="11">
        <v>2</v>
      </c>
      <c r="AG350" s="3">
        <f t="shared" si="676"/>
        <v>6</v>
      </c>
      <c r="AI350" s="3" t="s">
        <v>109</v>
      </c>
      <c r="AJ350" s="3">
        <f>Results!$O$25</f>
        <v>4</v>
      </c>
      <c r="AK350" s="11">
        <v>1</v>
      </c>
      <c r="AL350" s="3">
        <f t="shared" si="677"/>
        <v>4</v>
      </c>
      <c r="AM350" s="3" t="s">
        <v>110</v>
      </c>
      <c r="AN350" s="3">
        <f>Results!$O$30</f>
        <v>14</v>
      </c>
      <c r="AO350" s="11">
        <v>2</v>
      </c>
      <c r="AP350" s="3">
        <f t="shared" si="678"/>
        <v>28</v>
      </c>
      <c r="AQ350" s="3" t="s">
        <v>67</v>
      </c>
      <c r="AR350" s="3">
        <f>Results!$O$35</f>
        <v>4</v>
      </c>
      <c r="AS350" s="11">
        <v>1</v>
      </c>
      <c r="AT350" s="3">
        <f t="shared" si="679"/>
        <v>4</v>
      </c>
      <c r="AU350" s="3" t="s">
        <v>70</v>
      </c>
      <c r="AV350" s="3">
        <f>Results!$O$40</f>
        <v>3</v>
      </c>
      <c r="AW350" s="11">
        <v>2</v>
      </c>
      <c r="AX350" s="3">
        <f t="shared" si="680"/>
        <v>6</v>
      </c>
    </row>
    <row r="351" spans="1:50" ht="13.5" customHeight="1" x14ac:dyDescent="0.2">
      <c r="A351" s="24" t="s">
        <v>91</v>
      </c>
      <c r="B351" s="24">
        <f>Results!$O$26</f>
        <v>-2</v>
      </c>
      <c r="C351" s="25">
        <v>2</v>
      </c>
      <c r="D351" s="24">
        <f t="shared" si="669"/>
        <v>-4</v>
      </c>
      <c r="E351" s="24" t="s">
        <v>73</v>
      </c>
      <c r="F351" s="24">
        <f>Results!$O$31</f>
        <v>-4</v>
      </c>
      <c r="G351" s="25"/>
      <c r="H351" s="24">
        <f t="shared" si="670"/>
        <v>0</v>
      </c>
      <c r="I351" s="24" t="s">
        <v>112</v>
      </c>
      <c r="J351" s="24">
        <f>Results!$O$36</f>
        <v>5</v>
      </c>
      <c r="K351" s="25"/>
      <c r="L351" s="24">
        <f t="shared" si="671"/>
        <v>0</v>
      </c>
      <c r="M351" s="24" t="s">
        <v>84</v>
      </c>
      <c r="N351" s="24">
        <f>Results!$O$41</f>
        <v>4</v>
      </c>
      <c r="O351" s="25">
        <v>2</v>
      </c>
      <c r="P351" s="24">
        <f t="shared" si="672"/>
        <v>8</v>
      </c>
      <c r="R351" s="24" t="s">
        <v>91</v>
      </c>
      <c r="S351" s="24">
        <f>Results!$O$26</f>
        <v>-2</v>
      </c>
      <c r="T351" s="25">
        <v>2</v>
      </c>
      <c r="U351" s="24">
        <f t="shared" si="673"/>
        <v>-4</v>
      </c>
      <c r="V351" s="24" t="s">
        <v>73</v>
      </c>
      <c r="W351" s="24">
        <f>Results!$O$31</f>
        <v>-4</v>
      </c>
      <c r="X351" s="25"/>
      <c r="Y351" s="24">
        <f t="shared" si="674"/>
        <v>0</v>
      </c>
      <c r="Z351" s="24" t="s">
        <v>112</v>
      </c>
      <c r="AA351" s="24">
        <f>Results!$O$36</f>
        <v>5</v>
      </c>
      <c r="AB351" s="25"/>
      <c r="AC351" s="24">
        <f t="shared" si="675"/>
        <v>0</v>
      </c>
      <c r="AD351" s="24" t="s">
        <v>84</v>
      </c>
      <c r="AE351" s="24">
        <f>Results!$O$41</f>
        <v>4</v>
      </c>
      <c r="AF351" s="25">
        <v>3</v>
      </c>
      <c r="AG351" s="24">
        <f t="shared" si="676"/>
        <v>12</v>
      </c>
      <c r="AI351" s="24" t="s">
        <v>91</v>
      </c>
      <c r="AJ351" s="24">
        <f>Results!$O$26</f>
        <v>-2</v>
      </c>
      <c r="AK351" s="25">
        <v>2</v>
      </c>
      <c r="AL351" s="24">
        <f t="shared" si="677"/>
        <v>-4</v>
      </c>
      <c r="AM351" s="24" t="s">
        <v>73</v>
      </c>
      <c r="AN351" s="24">
        <f>Results!$O$31</f>
        <v>-4</v>
      </c>
      <c r="AO351" s="25"/>
      <c r="AP351" s="24">
        <f t="shared" si="678"/>
        <v>0</v>
      </c>
      <c r="AQ351" s="24" t="s">
        <v>112</v>
      </c>
      <c r="AR351" s="24">
        <f>Results!$O$36</f>
        <v>5</v>
      </c>
      <c r="AS351" s="25"/>
      <c r="AT351" s="24">
        <f t="shared" si="679"/>
        <v>0</v>
      </c>
      <c r="AU351" s="24" t="s">
        <v>84</v>
      </c>
      <c r="AV351" s="24">
        <f>Results!$O$41</f>
        <v>4</v>
      </c>
      <c r="AW351" s="25">
        <v>3</v>
      </c>
      <c r="AX351" s="24">
        <f t="shared" si="680"/>
        <v>12</v>
      </c>
    </row>
    <row r="352" spans="1:50" ht="13.5" customHeight="1" x14ac:dyDescent="0.2">
      <c r="A352" s="14" t="s">
        <v>97</v>
      </c>
      <c r="B352" s="15" t="s">
        <v>51</v>
      </c>
      <c r="C352" s="16" t="s">
        <v>21</v>
      </c>
      <c r="D352" s="15" t="s">
        <v>49</v>
      </c>
      <c r="E352" s="15" t="s">
        <v>98</v>
      </c>
      <c r="F352" s="15" t="s">
        <v>51</v>
      </c>
      <c r="G352" s="16" t="s">
        <v>21</v>
      </c>
      <c r="H352" s="15" t="s">
        <v>49</v>
      </c>
      <c r="I352" s="15" t="s">
        <v>99</v>
      </c>
      <c r="J352" s="15" t="s">
        <v>51</v>
      </c>
      <c r="K352" s="16" t="s">
        <v>21</v>
      </c>
      <c r="L352" s="15" t="s">
        <v>49</v>
      </c>
      <c r="M352" s="15" t="s">
        <v>100</v>
      </c>
      <c r="N352" s="15" t="s">
        <v>51</v>
      </c>
      <c r="O352" s="16" t="s">
        <v>21</v>
      </c>
      <c r="P352" s="15" t="s">
        <v>49</v>
      </c>
      <c r="R352" s="14" t="s">
        <v>97</v>
      </c>
      <c r="S352" s="15" t="s">
        <v>51</v>
      </c>
      <c r="T352" s="16" t="s">
        <v>21</v>
      </c>
      <c r="U352" s="15" t="s">
        <v>49</v>
      </c>
      <c r="V352" s="15" t="s">
        <v>98</v>
      </c>
      <c r="W352" s="15" t="s">
        <v>51</v>
      </c>
      <c r="X352" s="16" t="s">
        <v>21</v>
      </c>
      <c r="Y352" s="15" t="s">
        <v>49</v>
      </c>
      <c r="Z352" s="15" t="s">
        <v>99</v>
      </c>
      <c r="AA352" s="15" t="s">
        <v>51</v>
      </c>
      <c r="AB352" s="16" t="s">
        <v>21</v>
      </c>
      <c r="AC352" s="15" t="s">
        <v>49</v>
      </c>
      <c r="AD352" s="15" t="s">
        <v>100</v>
      </c>
      <c r="AE352" s="15" t="s">
        <v>51</v>
      </c>
      <c r="AF352" s="16" t="s">
        <v>21</v>
      </c>
      <c r="AG352" s="15" t="s">
        <v>49</v>
      </c>
      <c r="AI352" s="14" t="s">
        <v>97</v>
      </c>
      <c r="AJ352" s="15" t="s">
        <v>51</v>
      </c>
      <c r="AK352" s="16" t="s">
        <v>21</v>
      </c>
      <c r="AL352" s="15" t="s">
        <v>49</v>
      </c>
      <c r="AM352" s="15" t="s">
        <v>98</v>
      </c>
      <c r="AN352" s="15" t="s">
        <v>51</v>
      </c>
      <c r="AO352" s="16" t="s">
        <v>21</v>
      </c>
      <c r="AP352" s="15" t="s">
        <v>49</v>
      </c>
      <c r="AQ352" s="15" t="s">
        <v>99</v>
      </c>
      <c r="AR352" s="15" t="s">
        <v>51</v>
      </c>
      <c r="AS352" s="16" t="s">
        <v>21</v>
      </c>
      <c r="AT352" s="15" t="s">
        <v>49</v>
      </c>
      <c r="AU352" s="15" t="s">
        <v>100</v>
      </c>
      <c r="AV352" s="15" t="s">
        <v>51</v>
      </c>
      <c r="AW352" s="16" t="s">
        <v>21</v>
      </c>
      <c r="AX352" s="15" t="s">
        <v>49</v>
      </c>
    </row>
    <row r="353" spans="1:50" ht="13.5" customHeight="1" x14ac:dyDescent="0.2">
      <c r="A353" s="3" t="s">
        <v>8</v>
      </c>
      <c r="B353" s="3">
        <f>Results!$O$43</f>
        <v>10</v>
      </c>
      <c r="C353" s="11">
        <v>3</v>
      </c>
      <c r="D353" s="3">
        <f t="shared" ref="D353:D356" si="681">B353*C353</f>
        <v>30</v>
      </c>
      <c r="E353" s="3" t="s">
        <v>69</v>
      </c>
      <c r="F353" s="3">
        <f>Results!$O$48</f>
        <v>11</v>
      </c>
      <c r="G353" s="11">
        <v>2</v>
      </c>
      <c r="H353" s="3">
        <f t="shared" ref="H353:H356" si="682">F353*G353</f>
        <v>22</v>
      </c>
      <c r="I353" s="3" t="s">
        <v>19</v>
      </c>
      <c r="J353" s="3">
        <f>Results!$O$53</f>
        <v>1</v>
      </c>
      <c r="K353" s="11">
        <v>5</v>
      </c>
      <c r="L353" s="3">
        <f t="shared" ref="L353:L356" si="683">J353*K353</f>
        <v>5</v>
      </c>
      <c r="M353" s="3" t="s">
        <v>10</v>
      </c>
      <c r="N353" s="3">
        <f>Results!$O$58</f>
        <v>11</v>
      </c>
      <c r="O353" s="11">
        <v>3</v>
      </c>
      <c r="P353" s="3">
        <f t="shared" ref="P353:P356" si="684">N353*O353</f>
        <v>33</v>
      </c>
      <c r="R353" s="3" t="s">
        <v>8</v>
      </c>
      <c r="S353" s="3">
        <f>Results!$O$43</f>
        <v>10</v>
      </c>
      <c r="T353" s="11">
        <v>3</v>
      </c>
      <c r="U353" s="3">
        <f t="shared" ref="U353:U356" si="685">S353*T353</f>
        <v>30</v>
      </c>
      <c r="V353" s="3" t="s">
        <v>69</v>
      </c>
      <c r="W353" s="3">
        <f>Results!$O$48</f>
        <v>11</v>
      </c>
      <c r="X353" s="11">
        <v>3</v>
      </c>
      <c r="Y353" s="3">
        <f t="shared" ref="Y353:Y356" si="686">W353*X353</f>
        <v>33</v>
      </c>
      <c r="Z353" s="3" t="s">
        <v>19</v>
      </c>
      <c r="AA353" s="3">
        <f>Results!$O$53</f>
        <v>1</v>
      </c>
      <c r="AB353" s="11">
        <v>3</v>
      </c>
      <c r="AC353" s="3">
        <f t="shared" ref="AC353:AC356" si="687">AA353*AB353</f>
        <v>3</v>
      </c>
      <c r="AD353" s="3" t="s">
        <v>10</v>
      </c>
      <c r="AE353" s="3">
        <f>Results!$O$58</f>
        <v>11</v>
      </c>
      <c r="AF353" s="11">
        <v>3</v>
      </c>
      <c r="AG353" s="3">
        <f t="shared" ref="AG353:AG356" si="688">AE353*AF353</f>
        <v>33</v>
      </c>
      <c r="AI353" s="3" t="s">
        <v>8</v>
      </c>
      <c r="AJ353" s="3">
        <f>Results!$O$43</f>
        <v>10</v>
      </c>
      <c r="AK353" s="11">
        <v>3</v>
      </c>
      <c r="AL353" s="3">
        <f t="shared" ref="AL353:AL356" si="689">AJ353*AK353</f>
        <v>30</v>
      </c>
      <c r="AM353" s="3" t="s">
        <v>69</v>
      </c>
      <c r="AN353" s="3">
        <f>Results!$O$48</f>
        <v>11</v>
      </c>
      <c r="AO353" s="11">
        <v>3</v>
      </c>
      <c r="AP353" s="3">
        <f t="shared" ref="AP353:AP356" si="690">AN353*AO353</f>
        <v>33</v>
      </c>
      <c r="AQ353" s="3" t="s">
        <v>19</v>
      </c>
      <c r="AR353" s="3">
        <f>Results!$O$53</f>
        <v>1</v>
      </c>
      <c r="AS353" s="11">
        <v>3</v>
      </c>
      <c r="AT353" s="3">
        <f t="shared" ref="AT353:AT356" si="691">AR353*AS353</f>
        <v>3</v>
      </c>
      <c r="AU353" s="3" t="s">
        <v>10</v>
      </c>
      <c r="AV353" s="3">
        <f>Results!$O$58</f>
        <v>11</v>
      </c>
      <c r="AW353" s="11">
        <v>3</v>
      </c>
      <c r="AX353" s="3">
        <f t="shared" ref="AX353:AX356" si="692">AV353*AW353</f>
        <v>33</v>
      </c>
    </row>
    <row r="354" spans="1:50" ht="13.5" customHeight="1" x14ac:dyDescent="0.2">
      <c r="A354" s="3" t="s">
        <v>66</v>
      </c>
      <c r="B354" s="3">
        <f>Results!$O$44</f>
        <v>-1</v>
      </c>
      <c r="C354" s="11">
        <v>1</v>
      </c>
      <c r="D354" s="3">
        <f t="shared" si="681"/>
        <v>-1</v>
      </c>
      <c r="E354" s="3" t="s">
        <v>116</v>
      </c>
      <c r="F354" s="3">
        <f>Results!$O$49</f>
        <v>-3</v>
      </c>
      <c r="G354" s="11">
        <v>1</v>
      </c>
      <c r="H354" s="3">
        <f t="shared" si="682"/>
        <v>-3</v>
      </c>
      <c r="I354" s="3" t="s">
        <v>119</v>
      </c>
      <c r="J354" s="3">
        <f>Results!$O$54</f>
        <v>3</v>
      </c>
      <c r="K354" s="11">
        <v>2</v>
      </c>
      <c r="L354" s="3">
        <f t="shared" si="683"/>
        <v>6</v>
      </c>
      <c r="M354" s="3" t="s">
        <v>16</v>
      </c>
      <c r="N354" s="3">
        <f>Results!$O$59</f>
        <v>0</v>
      </c>
      <c r="O354" s="11">
        <v>2</v>
      </c>
      <c r="P354" s="3">
        <f t="shared" si="684"/>
        <v>0</v>
      </c>
      <c r="R354" s="3" t="s">
        <v>66</v>
      </c>
      <c r="S354" s="3">
        <f>Results!$O$44</f>
        <v>-1</v>
      </c>
      <c r="T354" s="11">
        <v>1</v>
      </c>
      <c r="U354" s="3">
        <f t="shared" si="685"/>
        <v>-1</v>
      </c>
      <c r="V354" s="3" t="s">
        <v>116</v>
      </c>
      <c r="W354" s="3">
        <f>Results!$O$49</f>
        <v>-3</v>
      </c>
      <c r="X354" s="11">
        <v>1</v>
      </c>
      <c r="Y354" s="3">
        <f t="shared" si="686"/>
        <v>-3</v>
      </c>
      <c r="Z354" s="3" t="s">
        <v>119</v>
      </c>
      <c r="AA354" s="3">
        <f>Results!$O$54</f>
        <v>3</v>
      </c>
      <c r="AB354" s="11">
        <v>1</v>
      </c>
      <c r="AC354" s="3">
        <f t="shared" si="687"/>
        <v>3</v>
      </c>
      <c r="AD354" s="3" t="s">
        <v>16</v>
      </c>
      <c r="AE354" s="3">
        <f>Results!$O$59</f>
        <v>0</v>
      </c>
      <c r="AF354" s="11">
        <v>2</v>
      </c>
      <c r="AG354" s="3">
        <f t="shared" si="688"/>
        <v>0</v>
      </c>
      <c r="AI354" s="3" t="s">
        <v>66</v>
      </c>
      <c r="AJ354" s="3">
        <f>Results!$O$44</f>
        <v>-1</v>
      </c>
      <c r="AK354" s="11">
        <v>1</v>
      </c>
      <c r="AL354" s="3">
        <f t="shared" si="689"/>
        <v>-1</v>
      </c>
      <c r="AM354" s="3" t="s">
        <v>116</v>
      </c>
      <c r="AN354" s="3">
        <f>Results!$O$49</f>
        <v>-3</v>
      </c>
      <c r="AO354" s="11">
        <v>1</v>
      </c>
      <c r="AP354" s="3">
        <f t="shared" si="690"/>
        <v>-3</v>
      </c>
      <c r="AQ354" s="3" t="s">
        <v>119</v>
      </c>
      <c r="AR354" s="3">
        <f>Results!$O$54</f>
        <v>3</v>
      </c>
      <c r="AS354" s="11"/>
      <c r="AT354" s="3">
        <f t="shared" si="691"/>
        <v>0</v>
      </c>
      <c r="AU354" s="3" t="s">
        <v>16</v>
      </c>
      <c r="AV354" s="3">
        <f>Results!$O$59</f>
        <v>0</v>
      </c>
      <c r="AW354" s="11">
        <v>2</v>
      </c>
      <c r="AX354" s="3">
        <f t="shared" si="692"/>
        <v>0</v>
      </c>
    </row>
    <row r="355" spans="1:50" ht="13.5" customHeight="1" x14ac:dyDescent="0.2">
      <c r="A355" s="3" t="s">
        <v>114</v>
      </c>
      <c r="B355" s="3">
        <f>Results!$O$45</f>
        <v>-3</v>
      </c>
      <c r="C355" s="11"/>
      <c r="D355" s="3">
        <f t="shared" si="681"/>
        <v>0</v>
      </c>
      <c r="E355" s="3" t="s">
        <v>117</v>
      </c>
      <c r="F355" s="3">
        <f>Results!$O$50</f>
        <v>9</v>
      </c>
      <c r="G355" s="11">
        <v>3</v>
      </c>
      <c r="H355" s="3">
        <f t="shared" si="682"/>
        <v>27</v>
      </c>
      <c r="I355" s="3" t="s">
        <v>120</v>
      </c>
      <c r="J355" s="3">
        <f>Results!$O$55</f>
        <v>-2</v>
      </c>
      <c r="K355" s="11">
        <v>1</v>
      </c>
      <c r="L355" s="3">
        <f t="shared" si="683"/>
        <v>-2</v>
      </c>
      <c r="M355" s="3" t="s">
        <v>83</v>
      </c>
      <c r="N355" s="3">
        <f>Results!$O$60</f>
        <v>6</v>
      </c>
      <c r="O355" s="11">
        <v>1</v>
      </c>
      <c r="P355" s="3">
        <f t="shared" si="684"/>
        <v>6</v>
      </c>
      <c r="R355" s="3" t="s">
        <v>114</v>
      </c>
      <c r="S355" s="3">
        <f>Results!$O$45</f>
        <v>-3</v>
      </c>
      <c r="T355" s="11"/>
      <c r="U355" s="3">
        <f t="shared" si="685"/>
        <v>0</v>
      </c>
      <c r="V355" s="3" t="s">
        <v>117</v>
      </c>
      <c r="W355" s="3">
        <f>Results!$O$50</f>
        <v>9</v>
      </c>
      <c r="X355" s="11">
        <v>2</v>
      </c>
      <c r="Y355" s="3">
        <f t="shared" si="686"/>
        <v>18</v>
      </c>
      <c r="Z355" s="3" t="s">
        <v>120</v>
      </c>
      <c r="AA355" s="3">
        <f>Results!$O$55</f>
        <v>-2</v>
      </c>
      <c r="AB355" s="11"/>
      <c r="AC355" s="3">
        <f t="shared" si="687"/>
        <v>0</v>
      </c>
      <c r="AD355" s="3" t="s">
        <v>83</v>
      </c>
      <c r="AE355" s="3">
        <f>Results!$O$60</f>
        <v>6</v>
      </c>
      <c r="AF355" s="11">
        <v>1</v>
      </c>
      <c r="AG355" s="3">
        <f t="shared" si="688"/>
        <v>6</v>
      </c>
      <c r="AI355" s="3" t="s">
        <v>114</v>
      </c>
      <c r="AJ355" s="3">
        <f>Results!$O$45</f>
        <v>-3</v>
      </c>
      <c r="AK355" s="11"/>
      <c r="AL355" s="3">
        <f t="shared" si="689"/>
        <v>0</v>
      </c>
      <c r="AM355" s="3" t="s">
        <v>117</v>
      </c>
      <c r="AN355" s="3">
        <f>Results!$O$50</f>
        <v>9</v>
      </c>
      <c r="AO355" s="11">
        <v>2</v>
      </c>
      <c r="AP355" s="3">
        <f t="shared" si="690"/>
        <v>18</v>
      </c>
      <c r="AQ355" s="3" t="s">
        <v>120</v>
      </c>
      <c r="AR355" s="3">
        <f>Results!$O$55</f>
        <v>-2</v>
      </c>
      <c r="AS355" s="11">
        <v>1</v>
      </c>
      <c r="AT355" s="3">
        <f t="shared" si="691"/>
        <v>-2</v>
      </c>
      <c r="AU355" s="3" t="s">
        <v>83</v>
      </c>
      <c r="AV355" s="3">
        <f>Results!$O$60</f>
        <v>6</v>
      </c>
      <c r="AW355" s="11">
        <v>1</v>
      </c>
      <c r="AX355" s="3">
        <f t="shared" si="692"/>
        <v>6</v>
      </c>
    </row>
    <row r="356" spans="1:50" ht="13.5" customHeight="1" thickBot="1" x14ac:dyDescent="0.25">
      <c r="A356" s="19" t="s">
        <v>115</v>
      </c>
      <c r="B356" s="19">
        <f>Results!$O$46</f>
        <v>12</v>
      </c>
      <c r="C356" s="20">
        <v>2</v>
      </c>
      <c r="D356" s="19">
        <f t="shared" si="681"/>
        <v>24</v>
      </c>
      <c r="E356" s="19" t="s">
        <v>118</v>
      </c>
      <c r="F356" s="19">
        <f>Results!$O$51</f>
        <v>-1</v>
      </c>
      <c r="G356" s="20"/>
      <c r="H356" s="19">
        <f t="shared" si="682"/>
        <v>0</v>
      </c>
      <c r="I356" s="19" t="s">
        <v>121</v>
      </c>
      <c r="J356" s="19">
        <f>Results!$O$56</f>
        <v>9</v>
      </c>
      <c r="K356" s="20">
        <v>3</v>
      </c>
      <c r="L356" s="19">
        <f t="shared" si="683"/>
        <v>27</v>
      </c>
      <c r="M356" s="19" t="s">
        <v>122</v>
      </c>
      <c r="N356" s="19">
        <f>Results!$O$61</f>
        <v>-3</v>
      </c>
      <c r="O356" s="20"/>
      <c r="P356" s="19">
        <f t="shared" si="684"/>
        <v>0</v>
      </c>
      <c r="R356" s="19" t="s">
        <v>115</v>
      </c>
      <c r="S356" s="19">
        <f>Results!$O$46</f>
        <v>12</v>
      </c>
      <c r="T356" s="20">
        <v>2</v>
      </c>
      <c r="U356" s="19">
        <f t="shared" si="685"/>
        <v>24</v>
      </c>
      <c r="V356" s="19" t="s">
        <v>118</v>
      </c>
      <c r="W356" s="19">
        <f>Results!$O$51</f>
        <v>-1</v>
      </c>
      <c r="X356" s="20"/>
      <c r="Y356" s="19">
        <f t="shared" si="686"/>
        <v>0</v>
      </c>
      <c r="Z356" s="19" t="s">
        <v>121</v>
      </c>
      <c r="AA356" s="19">
        <f>Results!$O$56</f>
        <v>9</v>
      </c>
      <c r="AB356" s="20">
        <v>2</v>
      </c>
      <c r="AC356" s="19">
        <f t="shared" si="687"/>
        <v>18</v>
      </c>
      <c r="AD356" s="19" t="s">
        <v>122</v>
      </c>
      <c r="AE356" s="19">
        <f>Results!$O$61</f>
        <v>-3</v>
      </c>
      <c r="AF356" s="20"/>
      <c r="AG356" s="19">
        <f t="shared" si="688"/>
        <v>0</v>
      </c>
      <c r="AI356" s="19" t="s">
        <v>115</v>
      </c>
      <c r="AJ356" s="19">
        <f>Results!$O$46</f>
        <v>12</v>
      </c>
      <c r="AK356" s="20">
        <v>2</v>
      </c>
      <c r="AL356" s="19">
        <f t="shared" si="689"/>
        <v>24</v>
      </c>
      <c r="AM356" s="19" t="s">
        <v>118</v>
      </c>
      <c r="AN356" s="19">
        <f>Results!$O$51</f>
        <v>-1</v>
      </c>
      <c r="AO356" s="20"/>
      <c r="AP356" s="19">
        <f t="shared" si="690"/>
        <v>0</v>
      </c>
      <c r="AQ356" s="19" t="s">
        <v>121</v>
      </c>
      <c r="AR356" s="19">
        <f>Results!$O$56</f>
        <v>9</v>
      </c>
      <c r="AS356" s="20">
        <v>2</v>
      </c>
      <c r="AT356" s="19">
        <f t="shared" si="691"/>
        <v>18</v>
      </c>
      <c r="AU356" s="19" t="s">
        <v>122</v>
      </c>
      <c r="AV356" s="19">
        <f>Results!$O$61</f>
        <v>-3</v>
      </c>
      <c r="AW356" s="20"/>
      <c r="AX356" s="19">
        <f t="shared" si="692"/>
        <v>0</v>
      </c>
    </row>
    <row r="357" spans="1:50" ht="13.5" customHeight="1" x14ac:dyDescent="0.2"/>
    <row r="358" spans="1:50" ht="13.5" customHeight="1" x14ac:dyDescent="0.2"/>
    <row r="359" spans="1:50" ht="13.5" customHeight="1" x14ac:dyDescent="0.2"/>
    <row r="360" spans="1:50" ht="13.5" customHeight="1" x14ac:dyDescent="0.2"/>
    <row r="361" spans="1:50" ht="13.5" customHeight="1" x14ac:dyDescent="0.2"/>
    <row r="362" spans="1:50" ht="13.5" customHeight="1" x14ac:dyDescent="0.2"/>
    <row r="363" spans="1:50" ht="13.5" customHeight="1" x14ac:dyDescent="0.2"/>
    <row r="364" spans="1:50" ht="13.5" customHeight="1" x14ac:dyDescent="0.2"/>
    <row r="365" spans="1:50" ht="13.5" customHeight="1" x14ac:dyDescent="0.2"/>
    <row r="366" spans="1:50" ht="13.5" customHeight="1" x14ac:dyDescent="0.2"/>
    <row r="367" spans="1:50" ht="13.5" customHeight="1" x14ac:dyDescent="0.2"/>
    <row r="368" spans="1:50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  <row r="1001" ht="13.5" customHeight="1" x14ac:dyDescent="0.2"/>
    <row r="1002" ht="13.5" customHeight="1" x14ac:dyDescent="0.2"/>
    <row r="1003" ht="13.5" customHeight="1" x14ac:dyDescent="0.2"/>
    <row r="1004" ht="13.5" customHeight="1" x14ac:dyDescent="0.2"/>
    <row r="1005" ht="13.5" customHeight="1" x14ac:dyDescent="0.2"/>
  </sheetData>
  <sheetProtection algorithmName="SHA-512" hashValue="MDRNlJDPDRQoOLdQOu3RnDaHNIFuYNyHiy4/MlWGBWyvr3vFxEX8GA1jHX/dZeVsdc540PSawrAlieLSTf7B0Q==" saltValue="T2WFN/XY7OnrtTyU8vYzBA==" spinCount="100000" sheet="1" objects="1" scenarios="1"/>
  <mergeCells count="132">
    <mergeCell ref="AJ341:AT341"/>
    <mergeCell ref="AV341:AX341"/>
    <mergeCell ref="AV324:AX324"/>
    <mergeCell ref="B324:L324"/>
    <mergeCell ref="N324:P324"/>
    <mergeCell ref="S324:AC324"/>
    <mergeCell ref="AE324:AG324"/>
    <mergeCell ref="AJ324:AT324"/>
    <mergeCell ref="AV290:AX290"/>
    <mergeCell ref="B307:L307"/>
    <mergeCell ref="N307:P307"/>
    <mergeCell ref="S307:AC307"/>
    <mergeCell ref="AE307:AG307"/>
    <mergeCell ref="AJ307:AT307"/>
    <mergeCell ref="AV307:AX307"/>
    <mergeCell ref="B290:L290"/>
    <mergeCell ref="N290:P290"/>
    <mergeCell ref="S290:AC290"/>
    <mergeCell ref="AE290:AG290"/>
    <mergeCell ref="AJ290:AT290"/>
    <mergeCell ref="B341:L341"/>
    <mergeCell ref="N341:P341"/>
    <mergeCell ref="S341:AC341"/>
    <mergeCell ref="AE341:AG341"/>
    <mergeCell ref="AV256:AX256"/>
    <mergeCell ref="B273:L273"/>
    <mergeCell ref="N273:P273"/>
    <mergeCell ref="S273:AC273"/>
    <mergeCell ref="AE273:AG273"/>
    <mergeCell ref="AJ273:AT273"/>
    <mergeCell ref="AV273:AX273"/>
    <mergeCell ref="B256:L256"/>
    <mergeCell ref="N256:P256"/>
    <mergeCell ref="S256:AC256"/>
    <mergeCell ref="AE256:AG256"/>
    <mergeCell ref="AJ256:AT256"/>
    <mergeCell ref="AV222:AX222"/>
    <mergeCell ref="AJ239:AT239"/>
    <mergeCell ref="S239:AC239"/>
    <mergeCell ref="B239:L239"/>
    <mergeCell ref="AV239:AX239"/>
    <mergeCell ref="AE239:AG239"/>
    <mergeCell ref="N239:P239"/>
    <mergeCell ref="B222:L222"/>
    <mergeCell ref="N222:P222"/>
    <mergeCell ref="S222:AC222"/>
    <mergeCell ref="AE222:AG222"/>
    <mergeCell ref="AJ222:AT222"/>
    <mergeCell ref="N1:P1"/>
    <mergeCell ref="AJ35:AT35"/>
    <mergeCell ref="AV35:AX35"/>
    <mergeCell ref="B1:L1"/>
    <mergeCell ref="N18:P18"/>
    <mergeCell ref="B18:L18"/>
    <mergeCell ref="S1:AC1"/>
    <mergeCell ref="AE1:AG1"/>
    <mergeCell ref="AJ1:AT1"/>
    <mergeCell ref="AV1:AX1"/>
    <mergeCell ref="AJ18:AT18"/>
    <mergeCell ref="AV18:AX18"/>
    <mergeCell ref="S18:AC18"/>
    <mergeCell ref="AE18:AG18"/>
    <mergeCell ref="B35:L35"/>
    <mergeCell ref="N35:P35"/>
    <mergeCell ref="S35:AC35"/>
    <mergeCell ref="AE35:AG35"/>
    <mergeCell ref="AJ154:AT154"/>
    <mergeCell ref="AV154:AX154"/>
    <mergeCell ref="AJ171:AT171"/>
    <mergeCell ref="AV171:AX171"/>
    <mergeCell ref="AJ188:AT188"/>
    <mergeCell ref="S154:AC154"/>
    <mergeCell ref="N52:P52"/>
    <mergeCell ref="S52:AC52"/>
    <mergeCell ref="B69:L69"/>
    <mergeCell ref="N69:P69"/>
    <mergeCell ref="B86:L86"/>
    <mergeCell ref="N86:P86"/>
    <mergeCell ref="B154:L154"/>
    <mergeCell ref="N154:P154"/>
    <mergeCell ref="S137:AC137"/>
    <mergeCell ref="AE137:AG137"/>
    <mergeCell ref="B102:L102"/>
    <mergeCell ref="N102:P102"/>
    <mergeCell ref="S102:AC102"/>
    <mergeCell ref="AE102:AG102"/>
    <mergeCell ref="B52:L52"/>
    <mergeCell ref="AJ52:AT52"/>
    <mergeCell ref="AV52:AX52"/>
    <mergeCell ref="AJ69:AT69"/>
    <mergeCell ref="AV69:AX69"/>
    <mergeCell ref="AJ86:AT86"/>
    <mergeCell ref="AV86:AX86"/>
    <mergeCell ref="S103:AC103"/>
    <mergeCell ref="AE103:AG103"/>
    <mergeCell ref="S120:AC120"/>
    <mergeCell ref="AE120:AG120"/>
    <mergeCell ref="AE52:AG52"/>
    <mergeCell ref="S69:AC69"/>
    <mergeCell ref="AE69:AG69"/>
    <mergeCell ref="S86:AC86"/>
    <mergeCell ref="AE86:AG86"/>
    <mergeCell ref="AJ102:AT102"/>
    <mergeCell ref="AV102:AX102"/>
    <mergeCell ref="AJ103:AT103"/>
    <mergeCell ref="AV103:AX103"/>
    <mergeCell ref="AJ120:AT120"/>
    <mergeCell ref="AV120:AX120"/>
    <mergeCell ref="AJ137:AT137"/>
    <mergeCell ref="AV137:AX137"/>
    <mergeCell ref="B103:L103"/>
    <mergeCell ref="N103:P103"/>
    <mergeCell ref="B120:L120"/>
    <mergeCell ref="N120:P120"/>
    <mergeCell ref="B188:L188"/>
    <mergeCell ref="N188:P188"/>
    <mergeCell ref="B205:L205"/>
    <mergeCell ref="N205:P205"/>
    <mergeCell ref="AV188:AX188"/>
    <mergeCell ref="AJ205:AT205"/>
    <mergeCell ref="B137:L137"/>
    <mergeCell ref="N137:P137"/>
    <mergeCell ref="B171:L171"/>
    <mergeCell ref="N171:P171"/>
    <mergeCell ref="AV205:AX205"/>
    <mergeCell ref="AE154:AG154"/>
    <mergeCell ref="S171:AC171"/>
    <mergeCell ref="AE171:AG171"/>
    <mergeCell ref="S188:AC188"/>
    <mergeCell ref="AE188:AG188"/>
    <mergeCell ref="S205:AC205"/>
    <mergeCell ref="AE205:AG205"/>
  </mergeCells>
  <pageMargins left="0.7" right="0.7" top="0.75" bottom="0.75" header="0.3" footer="0.3"/>
  <pageSetup paperSize="9" scale="39" fitToWidth="8" orientation="landscape" r:id="rId1"/>
  <headerFooter>
    <oddFooter>&amp;L_x000D_&amp;1#&amp;"Aptos"&amp;10&amp;K000000 Classification: Internal</oddFooter>
  </headerFooter>
  <rowBreaks count="2" manualBreakCount="2">
    <brk id="67" max="16383" man="1"/>
    <brk id="135" max="16383" man="1"/>
  </rowBreaks>
  <colBreaks count="3" manualBreakCount="3">
    <brk id="16" max="1048575" man="1"/>
    <brk id="17" max="1048575" man="1"/>
    <brk id="3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tabSelected="1" zoomScale="120" zoomScaleNormal="70" workbookViewId="0">
      <selection activeCell="J19" sqref="J19"/>
    </sheetView>
  </sheetViews>
  <sheetFormatPr baseColWidth="10" defaultColWidth="15.1640625" defaultRowHeight="15" customHeight="1" x14ac:dyDescent="0.2"/>
  <cols>
    <col min="1" max="1" width="3" style="23" bestFit="1" customWidth="1"/>
    <col min="2" max="2" width="27.5" customWidth="1"/>
    <col min="3" max="3" width="11.5" bestFit="1" customWidth="1"/>
    <col min="4" max="4" width="12.33203125" style="23" customWidth="1"/>
    <col min="5" max="26" width="7.6640625" customWidth="1"/>
  </cols>
  <sheetData>
    <row r="1" spans="1:4" ht="13.5" customHeight="1" x14ac:dyDescent="0.2">
      <c r="A1" s="41" t="s">
        <v>178</v>
      </c>
      <c r="B1" s="42" t="s">
        <v>52</v>
      </c>
      <c r="C1" s="43" t="s">
        <v>53</v>
      </c>
      <c r="D1" s="44" t="s">
        <v>96</v>
      </c>
    </row>
    <row r="2" spans="1:4" ht="13.5" customHeight="1" x14ac:dyDescent="0.2">
      <c r="A2" s="40">
        <v>1</v>
      </c>
      <c r="B2" t="str">
        <f>Entries!$AJ$205</f>
        <v>Teddy Rooks (P)</v>
      </c>
      <c r="C2">
        <f>Entries!$AV$205</f>
        <v>418</v>
      </c>
      <c r="D2" s="26" t="s">
        <v>57</v>
      </c>
    </row>
    <row r="3" spans="1:4" ht="13.5" customHeight="1" x14ac:dyDescent="0.2">
      <c r="A3" s="40">
        <v>2</v>
      </c>
      <c r="B3" t="str">
        <f>Entries!$B$103</f>
        <v>Michael Orford (P)</v>
      </c>
      <c r="C3">
        <f>Entries!$N$103</f>
        <v>417</v>
      </c>
      <c r="D3" s="26" t="s">
        <v>8</v>
      </c>
    </row>
    <row r="4" spans="1:4" ht="13.5" customHeight="1" x14ac:dyDescent="0.2">
      <c r="A4" s="40">
        <v>3</v>
      </c>
      <c r="B4" t="str">
        <f>Entries!$AJ$307</f>
        <v>Craig Ring (P)</v>
      </c>
      <c r="C4">
        <f>Entries!$AV$307</f>
        <v>415</v>
      </c>
      <c r="D4" s="23" t="s">
        <v>8</v>
      </c>
    </row>
    <row r="5" spans="1:4" ht="13.5" customHeight="1" x14ac:dyDescent="0.2">
      <c r="A5" s="40">
        <v>4</v>
      </c>
      <c r="B5" t="str">
        <f>Entries!$S$69</f>
        <v>Ray Boggiano (P)</v>
      </c>
      <c r="C5">
        <f>Entries!$AE$69</f>
        <v>414</v>
      </c>
      <c r="D5" s="26" t="s">
        <v>8</v>
      </c>
    </row>
    <row r="6" spans="1:4" ht="13.5" customHeight="1" x14ac:dyDescent="0.2">
      <c r="A6" s="40">
        <v>5</v>
      </c>
      <c r="B6" t="str">
        <f>Entries!$AJ$120</f>
        <v>Danny Dresner (P)</v>
      </c>
      <c r="C6">
        <f>Entries!$AV$120</f>
        <v>406</v>
      </c>
      <c r="D6" s="26" t="s">
        <v>11</v>
      </c>
    </row>
    <row r="7" spans="1:4" ht="13.5" customHeight="1" x14ac:dyDescent="0.2">
      <c r="A7" s="40">
        <v>6</v>
      </c>
      <c r="B7" t="str">
        <f>Entries!$B$18</f>
        <v>Nash Dresner (P)</v>
      </c>
      <c r="C7">
        <f>Entries!$N$18</f>
        <v>403</v>
      </c>
      <c r="D7" s="26" t="s">
        <v>10</v>
      </c>
    </row>
    <row r="8" spans="1:4" ht="13.5" customHeight="1" x14ac:dyDescent="0.2">
      <c r="A8" s="40">
        <v>7</v>
      </c>
      <c r="B8" t="str">
        <f>Entries!$B$273</f>
        <v>Dan Segal (P)</v>
      </c>
      <c r="C8">
        <f>Entries!$N$273</f>
        <v>401</v>
      </c>
      <c r="D8" s="23" t="s">
        <v>11</v>
      </c>
    </row>
    <row r="9" spans="1:4" ht="13.5" customHeight="1" x14ac:dyDescent="0.2">
      <c r="A9" s="40">
        <v>8</v>
      </c>
      <c r="B9" t="str">
        <f>Entries!$S$324</f>
        <v>Syrus Wynne</v>
      </c>
      <c r="C9">
        <f>Entries!$AE$324</f>
        <v>401</v>
      </c>
      <c r="D9" s="23" t="s">
        <v>17</v>
      </c>
    </row>
    <row r="10" spans="1:4" ht="13.5" customHeight="1" x14ac:dyDescent="0.2">
      <c r="A10" s="40">
        <v>9</v>
      </c>
      <c r="B10" t="str">
        <f>Entries!$S$86</f>
        <v>Liam Gerathy (P)</v>
      </c>
      <c r="C10">
        <f>Entries!$AE$86</f>
        <v>399</v>
      </c>
      <c r="D10" s="26" t="s">
        <v>8</v>
      </c>
    </row>
    <row r="11" spans="1:4" ht="13.5" customHeight="1" x14ac:dyDescent="0.2">
      <c r="A11" s="40">
        <v>10</v>
      </c>
      <c r="B11" t="str">
        <f>Entries!$AJ$188</f>
        <v>Liron Rutovitz (P)</v>
      </c>
      <c r="C11">
        <f>Entries!$AV$188</f>
        <v>398</v>
      </c>
      <c r="D11" s="26" t="s">
        <v>8</v>
      </c>
    </row>
    <row r="12" spans="1:4" ht="13.5" customHeight="1" x14ac:dyDescent="0.2">
      <c r="A12" s="40">
        <v>11</v>
      </c>
      <c r="B12" t="str">
        <f>Entries!$B$1</f>
        <v>Lennon Dresner (P)</v>
      </c>
      <c r="C12">
        <f>Entries!$N$1</f>
        <v>394</v>
      </c>
      <c r="D12" s="26" t="s">
        <v>80</v>
      </c>
    </row>
    <row r="13" spans="1:4" ht="13.5" customHeight="1" x14ac:dyDescent="0.2">
      <c r="A13" s="40">
        <v>12</v>
      </c>
      <c r="B13" t="str">
        <f>Entries!$S$52</f>
        <v>Clive Baskin (P)</v>
      </c>
      <c r="C13">
        <f>Entries!$AE$52</f>
        <v>393</v>
      </c>
      <c r="D13" s="26" t="s">
        <v>8</v>
      </c>
    </row>
    <row r="14" spans="1:4" ht="13.5" customHeight="1" x14ac:dyDescent="0.2">
      <c r="A14" s="40">
        <v>13</v>
      </c>
      <c r="B14" t="str">
        <f>Entries!$B$137</f>
        <v>Robbie Baskin (P)</v>
      </c>
      <c r="C14">
        <f>Entries!$N$137</f>
        <v>389</v>
      </c>
      <c r="D14" s="26" t="s">
        <v>8</v>
      </c>
    </row>
    <row r="15" spans="1:4" ht="13.5" customHeight="1" x14ac:dyDescent="0.2">
      <c r="A15" s="40">
        <v>14</v>
      </c>
      <c r="B15" t="str">
        <f>Entries!$S$154</f>
        <v>Josie Rutovitz (P)</v>
      </c>
      <c r="C15">
        <f>Entries!$AE$154</f>
        <v>388</v>
      </c>
      <c r="D15" s="26" t="s">
        <v>17</v>
      </c>
    </row>
    <row r="16" spans="1:4" ht="13.5" customHeight="1" x14ac:dyDescent="0.2">
      <c r="A16" s="40">
        <v>15</v>
      </c>
      <c r="B16" t="str">
        <f>Entries!$B$222</f>
        <v>Matthew Bozic (P)</v>
      </c>
      <c r="C16">
        <f>Entries!$N$222</f>
        <v>388</v>
      </c>
      <c r="D16" s="23" t="s">
        <v>17</v>
      </c>
    </row>
    <row r="17" spans="1:4" ht="13.5" customHeight="1" x14ac:dyDescent="0.2">
      <c r="A17" s="40">
        <v>16</v>
      </c>
      <c r="B17" t="str">
        <f>Entries!$AJ$18</f>
        <v>Gavin Fuchs (P)</v>
      </c>
      <c r="C17">
        <f>Entries!$AV$18</f>
        <v>382</v>
      </c>
      <c r="D17" s="26" t="s">
        <v>10</v>
      </c>
    </row>
    <row r="18" spans="1:4" ht="13.5" customHeight="1" x14ac:dyDescent="0.2">
      <c r="A18" s="40">
        <v>17</v>
      </c>
      <c r="B18" t="str">
        <f>Entries!$AJ$69</f>
        <v>David Vince Smith (P)</v>
      </c>
      <c r="C18">
        <f>Entries!$AV$69</f>
        <v>382</v>
      </c>
      <c r="D18" s="26" t="s">
        <v>10</v>
      </c>
    </row>
    <row r="19" spans="1:4" ht="13.5" customHeight="1" x14ac:dyDescent="0.2">
      <c r="A19" s="40">
        <v>18</v>
      </c>
      <c r="B19" t="str">
        <f>Entries!$AJ$52</f>
        <v>Laine Poirier (P)</v>
      </c>
      <c r="C19">
        <f>Entries!$AV$52</f>
        <v>382</v>
      </c>
      <c r="D19" s="26" t="s">
        <v>8</v>
      </c>
    </row>
    <row r="20" spans="1:4" ht="13.5" customHeight="1" x14ac:dyDescent="0.2">
      <c r="A20" s="40">
        <v>19</v>
      </c>
      <c r="B20" t="str">
        <f>Entries!$S$18</f>
        <v>Max Maike (P)</v>
      </c>
      <c r="C20">
        <f>Entries!$AE$18</f>
        <v>378</v>
      </c>
      <c r="D20" s="26" t="s">
        <v>11</v>
      </c>
    </row>
    <row r="21" spans="1:4" ht="13.5" customHeight="1" x14ac:dyDescent="0.2">
      <c r="A21" s="40">
        <v>20</v>
      </c>
      <c r="B21" t="str">
        <f>Entries!$B$154</f>
        <v>Tali Hollis (P)</v>
      </c>
      <c r="C21">
        <f>Entries!$N$154</f>
        <v>377</v>
      </c>
      <c r="D21" s="26" t="s">
        <v>8</v>
      </c>
    </row>
    <row r="22" spans="1:4" ht="13.5" customHeight="1" x14ac:dyDescent="0.2">
      <c r="A22" s="40">
        <v>21</v>
      </c>
      <c r="B22" t="str">
        <f>Entries!$B$239</f>
        <v>Paul Selikman (P)</v>
      </c>
      <c r="C22">
        <f>Entries!$N$239</f>
        <v>376</v>
      </c>
      <c r="D22" s="23" t="s">
        <v>17</v>
      </c>
    </row>
    <row r="23" spans="1:4" ht="13.5" customHeight="1" x14ac:dyDescent="0.2">
      <c r="A23" s="40">
        <v>22</v>
      </c>
      <c r="B23" t="str">
        <f>Entries!$B$35</f>
        <v>Kevin Lippy (P)</v>
      </c>
      <c r="C23">
        <f>Entries!$N$35</f>
        <v>375</v>
      </c>
      <c r="D23" s="26" t="s">
        <v>11</v>
      </c>
    </row>
    <row r="24" spans="1:4" ht="13.5" customHeight="1" x14ac:dyDescent="0.2">
      <c r="A24" s="40">
        <v>23</v>
      </c>
      <c r="B24" t="str">
        <f>Entries!$B$69</f>
        <v>Paul Mooney</v>
      </c>
      <c r="C24">
        <f>Entries!$N$69</f>
        <v>374</v>
      </c>
      <c r="D24" s="26" t="s">
        <v>71</v>
      </c>
    </row>
    <row r="25" spans="1:4" ht="13.5" customHeight="1" x14ac:dyDescent="0.2">
      <c r="A25" s="40">
        <v>24</v>
      </c>
      <c r="B25" t="str">
        <f>Entries!$S$120</f>
        <v>Rory Gallagher (P)</v>
      </c>
      <c r="C25">
        <f>Entries!$AE$120</f>
        <v>374</v>
      </c>
      <c r="D25" s="26" t="s">
        <v>8</v>
      </c>
    </row>
    <row r="26" spans="1:4" ht="13.5" customHeight="1" x14ac:dyDescent="0.2">
      <c r="A26" s="40">
        <v>25</v>
      </c>
      <c r="B26" t="str">
        <f>Entries!$AJ$1</f>
        <v>Tyler &amp; Mark Hall</v>
      </c>
      <c r="C26">
        <f>Entries!$AV$1</f>
        <v>373</v>
      </c>
      <c r="D26" s="26" t="s">
        <v>8</v>
      </c>
    </row>
    <row r="27" spans="1:4" ht="13.5" customHeight="1" x14ac:dyDescent="0.2">
      <c r="A27" s="40">
        <v>26</v>
      </c>
      <c r="B27" t="str">
        <f>Entries!$S$188</f>
        <v>Edward Shmidt (P)</v>
      </c>
      <c r="C27">
        <f>Entries!$AE$188</f>
        <v>372</v>
      </c>
      <c r="D27" s="26" t="s">
        <v>10</v>
      </c>
    </row>
    <row r="28" spans="1:4" ht="13.5" customHeight="1" x14ac:dyDescent="0.2">
      <c r="A28" s="40">
        <v>27</v>
      </c>
      <c r="B28" t="str">
        <f>Entries!$B$171</f>
        <v>Adam Horwitz (P)</v>
      </c>
      <c r="C28">
        <f>Entries!$N$171</f>
        <v>372</v>
      </c>
      <c r="D28" s="26" t="s">
        <v>10</v>
      </c>
    </row>
    <row r="29" spans="1:4" ht="13.5" customHeight="1" x14ac:dyDescent="0.2">
      <c r="A29" s="40">
        <v>28</v>
      </c>
      <c r="B29" t="str">
        <f>Entries!$AJ$290</f>
        <v>Tobias Morgan (P)</v>
      </c>
      <c r="C29">
        <f>Entries!$AV$290</f>
        <v>371</v>
      </c>
      <c r="D29" s="23" t="s">
        <v>8</v>
      </c>
    </row>
    <row r="30" spans="1:4" ht="13.5" customHeight="1" x14ac:dyDescent="0.2">
      <c r="A30" s="40">
        <v>29</v>
      </c>
      <c r="B30" t="str">
        <f>Entries!$B$205</f>
        <v>Benjamin Powell (P)</v>
      </c>
      <c r="C30">
        <f>Entries!$N$205</f>
        <v>370</v>
      </c>
      <c r="D30" s="26" t="s">
        <v>10</v>
      </c>
    </row>
    <row r="31" spans="1:4" ht="13.5" customHeight="1" x14ac:dyDescent="0.2">
      <c r="A31" s="40">
        <v>30</v>
      </c>
      <c r="B31" t="str">
        <f>Entries!$B$188</f>
        <v>Jenna Baskin (P)</v>
      </c>
      <c r="C31">
        <f>Entries!$N$188</f>
        <v>369</v>
      </c>
      <c r="D31" s="26" t="s">
        <v>17</v>
      </c>
    </row>
    <row r="32" spans="1:4" ht="13.5" customHeight="1" x14ac:dyDescent="0.2">
      <c r="A32" s="40">
        <v>31</v>
      </c>
      <c r="B32" t="str">
        <f>Entries!$S$273</f>
        <v>Carl Seubert (P)</v>
      </c>
      <c r="C32">
        <f>Entries!$AE$273</f>
        <v>369</v>
      </c>
      <c r="D32" s="23" t="s">
        <v>8</v>
      </c>
    </row>
    <row r="33" spans="1:4" ht="13.5" customHeight="1" x14ac:dyDescent="0.2">
      <c r="A33" s="40">
        <v>32</v>
      </c>
      <c r="B33" t="str">
        <f>Entries!$S$239</f>
        <v>Romi Rutovitz (P)</v>
      </c>
      <c r="C33">
        <f>Entries!$AE$239</f>
        <v>369</v>
      </c>
      <c r="D33" s="23" t="s">
        <v>8</v>
      </c>
    </row>
    <row r="34" spans="1:4" ht="13.5" customHeight="1" x14ac:dyDescent="0.2">
      <c r="A34" s="40">
        <v>33</v>
      </c>
      <c r="B34" t="str">
        <f>Entries!$B$52</f>
        <v>Alon Beran (P)</v>
      </c>
      <c r="C34">
        <f>Entries!$N$52</f>
        <v>368</v>
      </c>
      <c r="D34" s="26" t="s">
        <v>17</v>
      </c>
    </row>
    <row r="35" spans="1:4" ht="13.5" customHeight="1" x14ac:dyDescent="0.2">
      <c r="A35" s="40">
        <v>34</v>
      </c>
      <c r="B35" t="str">
        <f>Entries!$S$290</f>
        <v>Bryan Resnik (P)</v>
      </c>
      <c r="C35">
        <f>Entries!$AE$290</f>
        <v>367</v>
      </c>
      <c r="D35" s="23" t="s">
        <v>80</v>
      </c>
    </row>
    <row r="36" spans="1:4" ht="13.5" customHeight="1" x14ac:dyDescent="0.2">
      <c r="A36" s="40">
        <v>35</v>
      </c>
      <c r="B36" t="str">
        <f>Entries!$B$290</f>
        <v>Jarred Rubin (P)</v>
      </c>
      <c r="C36">
        <f>Entries!$N$290</f>
        <v>367</v>
      </c>
      <c r="D36" s="23" t="s">
        <v>17</v>
      </c>
    </row>
    <row r="37" spans="1:4" ht="13.5" customHeight="1" x14ac:dyDescent="0.2">
      <c r="A37" s="40">
        <v>36</v>
      </c>
      <c r="B37" t="str">
        <f>Entries!$B$256</f>
        <v>Mitchell James (P)</v>
      </c>
      <c r="C37">
        <f>Entries!$N$256</f>
        <v>366</v>
      </c>
      <c r="D37" s="23" t="s">
        <v>80</v>
      </c>
    </row>
    <row r="38" spans="1:4" ht="13.5" customHeight="1" x14ac:dyDescent="0.2">
      <c r="A38" s="40">
        <v>37</v>
      </c>
      <c r="B38" t="str">
        <f>Entries!$AJ$324</f>
        <v>Micheal O'Brien (P)</v>
      </c>
      <c r="C38">
        <f>Entries!$AV$324</f>
        <v>366</v>
      </c>
      <c r="D38" s="23" t="s">
        <v>8</v>
      </c>
    </row>
    <row r="39" spans="1:4" ht="13.5" customHeight="1" x14ac:dyDescent="0.2">
      <c r="A39" s="40">
        <v>38</v>
      </c>
      <c r="B39" t="str">
        <f>Entries!$S$307</f>
        <v>Sean Eichholz (P)</v>
      </c>
      <c r="C39">
        <f>Entries!$AE$307</f>
        <v>364</v>
      </c>
      <c r="D39" s="23" t="s">
        <v>57</v>
      </c>
    </row>
    <row r="40" spans="1:4" ht="13.5" customHeight="1" x14ac:dyDescent="0.2">
      <c r="A40" s="40">
        <v>39</v>
      </c>
      <c r="B40" t="str">
        <f>Entries!$AJ$103</f>
        <v>Marc Cohen (P)</v>
      </c>
      <c r="C40">
        <f>Entries!$AV$103</f>
        <v>364</v>
      </c>
      <c r="D40" s="26" t="s">
        <v>8</v>
      </c>
    </row>
    <row r="41" spans="1:4" ht="13.5" customHeight="1" x14ac:dyDescent="0.2">
      <c r="A41" s="40">
        <v>40</v>
      </c>
      <c r="B41" t="str">
        <f>Entries!$B$86</f>
        <v>Ivan Dadic (P)</v>
      </c>
      <c r="C41">
        <f>Entries!$N$86</f>
        <v>363</v>
      </c>
      <c r="D41" s="26" t="s">
        <v>17</v>
      </c>
    </row>
    <row r="42" spans="1:4" ht="13.5" customHeight="1" x14ac:dyDescent="0.2">
      <c r="A42" s="40">
        <v>41</v>
      </c>
      <c r="B42" t="str">
        <f>Entries!$S$341</f>
        <v>Tom Rozehnal (P)</v>
      </c>
      <c r="C42">
        <f>Entries!$AE$341</f>
        <v>363</v>
      </c>
      <c r="D42" s="23" t="s">
        <v>17</v>
      </c>
    </row>
    <row r="43" spans="1:4" ht="13.5" customHeight="1" x14ac:dyDescent="0.2">
      <c r="A43" s="40">
        <v>42</v>
      </c>
      <c r="B43" t="str">
        <f>Entries!$AJ$35</f>
        <v>Ivan Fuchs (P)</v>
      </c>
      <c r="C43">
        <f>Entries!$AV$35</f>
        <v>363</v>
      </c>
      <c r="D43" s="26" t="s">
        <v>19</v>
      </c>
    </row>
    <row r="44" spans="1:4" ht="13.5" customHeight="1" x14ac:dyDescent="0.2">
      <c r="A44" s="40">
        <v>43</v>
      </c>
      <c r="B44" t="str">
        <f>Entries!$S$1</f>
        <v>Ben Maike (P)</v>
      </c>
      <c r="C44">
        <f>Entries!$AE$1</f>
        <v>363</v>
      </c>
      <c r="D44" s="26" t="s">
        <v>8</v>
      </c>
    </row>
    <row r="45" spans="1:4" ht="13.5" customHeight="1" x14ac:dyDescent="0.2">
      <c r="A45" s="40">
        <v>44</v>
      </c>
      <c r="B45" t="str">
        <f>Entries!$S$171</f>
        <v>Daniel Zamparelli (P)</v>
      </c>
      <c r="C45">
        <f>Entries!$AE$171</f>
        <v>362</v>
      </c>
      <c r="D45" s="26" t="s">
        <v>8</v>
      </c>
    </row>
    <row r="46" spans="1:4" ht="13.5" customHeight="1" x14ac:dyDescent="0.2">
      <c r="A46" s="40">
        <v>45</v>
      </c>
      <c r="B46" t="str">
        <f>Entries!$AJ$171</f>
        <v>Eric Cohen (P)</v>
      </c>
      <c r="C46">
        <f>Entries!$AV$171</f>
        <v>358</v>
      </c>
      <c r="D46" s="26" t="s">
        <v>57</v>
      </c>
    </row>
    <row r="47" spans="1:4" ht="13.5" customHeight="1" x14ac:dyDescent="0.2">
      <c r="A47" s="40">
        <v>46</v>
      </c>
      <c r="B47" t="str">
        <f>Entries!$AJ$256</f>
        <v>Jeremy Heymann (P)</v>
      </c>
      <c r="C47">
        <f>Entries!$AV$256</f>
        <v>353</v>
      </c>
      <c r="D47" s="23" t="s">
        <v>80</v>
      </c>
    </row>
    <row r="48" spans="1:4" ht="13.5" customHeight="1" x14ac:dyDescent="0.2">
      <c r="A48" s="40">
        <v>47</v>
      </c>
      <c r="B48" t="str">
        <f>Entries!$S$137</f>
        <v>Barry Cohen (P)</v>
      </c>
      <c r="C48">
        <f>Entries!$AE$137</f>
        <v>353</v>
      </c>
      <c r="D48" s="26" t="s">
        <v>19</v>
      </c>
    </row>
    <row r="49" spans="1:4" ht="13.5" customHeight="1" x14ac:dyDescent="0.2">
      <c r="A49" s="40">
        <v>48</v>
      </c>
      <c r="B49" t="str">
        <f>Entries!$S$256</f>
        <v>David Hall (P)</v>
      </c>
      <c r="C49">
        <f>Entries!$AE$256</f>
        <v>352</v>
      </c>
      <c r="D49" s="23" t="s">
        <v>8</v>
      </c>
    </row>
    <row r="50" spans="1:4" ht="13.5" customHeight="1" x14ac:dyDescent="0.2">
      <c r="A50" s="40">
        <v>49</v>
      </c>
      <c r="B50" t="str">
        <f>Entries!$AJ$137</f>
        <v>Fabian Boldt</v>
      </c>
      <c r="C50">
        <f>Entries!$AV$137</f>
        <v>352</v>
      </c>
      <c r="D50" s="26" t="s">
        <v>8</v>
      </c>
    </row>
    <row r="51" spans="1:4" ht="13.5" customHeight="1" x14ac:dyDescent="0.2">
      <c r="A51" s="40">
        <v>50</v>
      </c>
      <c r="B51" t="str">
        <f>Entries!$S$205</f>
        <v>Taylor Chauhud (P)</v>
      </c>
      <c r="C51">
        <f>Entries!$AE$205</f>
        <v>350</v>
      </c>
      <c r="D51" s="26" t="s">
        <v>80</v>
      </c>
    </row>
    <row r="52" spans="1:4" ht="13.5" customHeight="1" x14ac:dyDescent="0.2">
      <c r="A52" s="40">
        <v>51</v>
      </c>
      <c r="B52" t="str">
        <f>Entries!$AJ$222</f>
        <v xml:space="preserve">Luka Obradovic </v>
      </c>
      <c r="C52">
        <f>Entries!$AV$222</f>
        <v>350</v>
      </c>
      <c r="D52" s="23" t="s">
        <v>17</v>
      </c>
    </row>
    <row r="53" spans="1:4" ht="13.5" customHeight="1" x14ac:dyDescent="0.2">
      <c r="A53" s="40">
        <v>52</v>
      </c>
      <c r="B53" t="str">
        <f>Entries!$AJ$86</f>
        <v>Alexander Riley (P)</v>
      </c>
      <c r="C53">
        <f>Entries!$AV$86</f>
        <v>348</v>
      </c>
      <c r="D53" s="26" t="s">
        <v>8</v>
      </c>
    </row>
    <row r="54" spans="1:4" ht="13.5" customHeight="1" x14ac:dyDescent="0.2">
      <c r="A54" s="40">
        <v>53</v>
      </c>
      <c r="B54" t="str">
        <f>Entries!$S$222</f>
        <v>Rob Lorenc (P)</v>
      </c>
      <c r="C54">
        <f>Entries!$AE$222</f>
        <v>347</v>
      </c>
      <c r="D54" s="23" t="s">
        <v>17</v>
      </c>
    </row>
    <row r="55" spans="1:4" ht="13.5" customHeight="1" x14ac:dyDescent="0.2">
      <c r="A55" s="40">
        <v>54</v>
      </c>
      <c r="B55" t="str">
        <f>Entries!$AJ$273</f>
        <v>David Cuthbert (P)</v>
      </c>
      <c r="C55">
        <f>Entries!$AV$273</f>
        <v>345</v>
      </c>
      <c r="D55" s="23" t="s">
        <v>19</v>
      </c>
    </row>
    <row r="56" spans="1:4" ht="13.5" customHeight="1" x14ac:dyDescent="0.2">
      <c r="A56" s="40">
        <v>55</v>
      </c>
      <c r="B56" t="str">
        <f>Entries!$B$341</f>
        <v>Camilla Dresner (P)</v>
      </c>
      <c r="C56">
        <f>Entries!$N$341</f>
        <v>344</v>
      </c>
      <c r="D56" s="23" t="s">
        <v>19</v>
      </c>
    </row>
    <row r="57" spans="1:4" ht="13.5" customHeight="1" x14ac:dyDescent="0.2">
      <c r="A57" s="40">
        <v>56</v>
      </c>
      <c r="B57" t="str">
        <f>Entries!$B$324</f>
        <v>Jason Alman (P)</v>
      </c>
      <c r="C57">
        <f>Entries!$N$324</f>
        <v>342</v>
      </c>
      <c r="D57" s="23" t="s">
        <v>17</v>
      </c>
    </row>
    <row r="58" spans="1:4" ht="13.5" customHeight="1" x14ac:dyDescent="0.2">
      <c r="A58" s="40">
        <v>57</v>
      </c>
      <c r="B58" t="str">
        <f>Entries!$AJ$154</f>
        <v>Ari Segal (P)</v>
      </c>
      <c r="C58">
        <f>Entries!$AV$154</f>
        <v>341</v>
      </c>
      <c r="D58" s="26" t="s">
        <v>10</v>
      </c>
    </row>
    <row r="59" spans="1:4" ht="13.5" customHeight="1" x14ac:dyDescent="0.2">
      <c r="A59" s="40">
        <v>58</v>
      </c>
      <c r="B59" t="str">
        <f>Entries!$B$120</f>
        <v>Rob Wilson</v>
      </c>
      <c r="C59">
        <f>Entries!$N$120</f>
        <v>340</v>
      </c>
      <c r="D59" s="26" t="s">
        <v>10</v>
      </c>
    </row>
    <row r="60" spans="1:4" ht="13.5" customHeight="1" x14ac:dyDescent="0.2">
      <c r="A60" s="40">
        <v>59</v>
      </c>
      <c r="B60" t="str">
        <f>Entries!$AJ$341</f>
        <v>Sal Quattroville</v>
      </c>
      <c r="C60">
        <f>Entries!$AV$341</f>
        <v>339</v>
      </c>
      <c r="D60" s="23" t="s">
        <v>17</v>
      </c>
    </row>
    <row r="61" spans="1:4" ht="13.5" customHeight="1" x14ac:dyDescent="0.2">
      <c r="A61" s="40">
        <v>60</v>
      </c>
      <c r="B61" t="str">
        <f>Entries!$S$103</f>
        <v>Parham Taba (P)</v>
      </c>
      <c r="C61">
        <f>Entries!$AE$103</f>
        <v>332</v>
      </c>
      <c r="D61" s="26" t="s">
        <v>17</v>
      </c>
    </row>
    <row r="62" spans="1:4" ht="13.5" customHeight="1" x14ac:dyDescent="0.2">
      <c r="A62" s="40">
        <v>61</v>
      </c>
      <c r="B62" t="str">
        <f>Entries!$B$307</f>
        <v>Andrew Ioannides (P)</v>
      </c>
      <c r="C62">
        <f>Entries!$N$307</f>
        <v>324</v>
      </c>
      <c r="D62" s="23" t="s">
        <v>17</v>
      </c>
    </row>
    <row r="63" spans="1:4" ht="13.5" customHeight="1" x14ac:dyDescent="0.2">
      <c r="A63" s="40">
        <v>62</v>
      </c>
      <c r="B63" t="str">
        <f>Entries!$AJ$239</f>
        <v>Brett Forer (P)</v>
      </c>
      <c r="C63">
        <f>Entries!$AV$239</f>
        <v>319</v>
      </c>
      <c r="D63" s="23" t="s">
        <v>17</v>
      </c>
    </row>
    <row r="64" spans="1:4" ht="13.5" customHeight="1" x14ac:dyDescent="0.2">
      <c r="A64" s="40">
        <v>63</v>
      </c>
      <c r="B64" t="str">
        <f>Entries!$S$35</f>
        <v>Josh Luff (P)</v>
      </c>
      <c r="C64">
        <f>Entries!$AE$35</f>
        <v>317</v>
      </c>
      <c r="D64" s="26" t="s">
        <v>8</v>
      </c>
    </row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sheetProtection algorithmName="SHA-512" hashValue="zrlBnpqvjwjcmyIP4XOte7GrwFE+HTSI9GjNGmDPeMyRq9szapmFPKmD5215EqOYbXzdPVt/kEv/Rzwtx5LC9w==" saltValue="Uakz5csEuDlWiQRIgmR3Kg==" spinCount="100000" sheet="1" objects="1" scenarios="1"/>
  <sortState xmlns:xlrd2="http://schemas.microsoft.com/office/spreadsheetml/2017/richdata2" ref="B2:D64">
    <sortCondition descending="1" ref="C2:C64"/>
  </sortState>
  <conditionalFormatting sqref="D1:D1048576">
    <cfRule type="containsText" dxfId="7" priority="1" operator="containsText" text="Mexico">
      <formula>NOT(ISERROR(SEARCH("Mexico",D1)))</formula>
    </cfRule>
    <cfRule type="containsText" dxfId="6" priority="2" operator="containsText" text="Netherlands">
      <formula>NOT(ISERROR(SEARCH("Netherlands",D1)))</formula>
    </cfRule>
    <cfRule type="containsText" dxfId="5" priority="3" operator="containsText" text="Portugal">
      <formula>NOT(ISERROR(SEARCH("Portugal",D1)))</formula>
    </cfRule>
    <cfRule type="containsText" dxfId="4" priority="4" operator="containsText" text="Germany">
      <formula>NOT(ISERROR(SEARCH("Germany",D1)))</formula>
    </cfRule>
    <cfRule type="containsText" dxfId="3" priority="5" operator="containsText" text="England">
      <formula>NOT(ISERROR(SEARCH("England",D1)))</formula>
    </cfRule>
    <cfRule type="containsText" dxfId="2" priority="6" operator="containsText" text="Spain">
      <formula>NOT(ISERROR(SEARCH("Spain",D1)))</formula>
    </cfRule>
    <cfRule type="containsText" dxfId="1" priority="7" operator="containsText" text="Brazil">
      <formula>NOT(ISERROR(SEARCH("Brazil",D1)))</formula>
    </cfRule>
    <cfRule type="containsText" dxfId="0" priority="9" operator="containsText" text="France">
      <formula>NOT(ISERROR(SEARCH("France",D1)))</formula>
    </cfRule>
  </conditionalFormatting>
  <pageMargins left="0.7" right="0.7" top="0.75" bottom="0.75" header="0.3" footer="0.3"/>
  <pageSetup paperSize="9" orientation="landscape" r:id="rId1"/>
  <headerFooter>
    <oddFooter>&amp;L_x000D_&amp;1#&amp;"Aptos"&amp;10&amp;K000000 Classification: Internal</oddFooter>
  </headerFooter>
</worksheet>
</file>

<file path=docMetadata/LabelInfo.xml><?xml version="1.0" encoding="utf-8"?>
<clbl:labelList xmlns:clbl="http://schemas.microsoft.com/office/2020/mipLabelMetadata">
  <clbl:label id="{82e89a4f-af08-40ff-8223-14a506710c68}" enabled="1" method="Standard" siteId="{20b7c2b2-fb31-4134-9724-a9a4894188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Form</vt:lpstr>
      <vt:lpstr>Results</vt:lpstr>
      <vt:lpstr>Entries</vt:lpstr>
      <vt:lpstr>Ladder</vt:lpstr>
      <vt:lpstr>Form!Print_Area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</dc:creator>
  <cp:lastModifiedBy>Robert Baskin</cp:lastModifiedBy>
  <cp:lastPrinted>2022-11-20T10:42:35Z</cp:lastPrinted>
  <dcterms:created xsi:type="dcterms:W3CDTF">2018-05-06T22:50:37Z</dcterms:created>
  <dcterms:modified xsi:type="dcterms:W3CDTF">2026-06-18T05:02:10Z</dcterms:modified>
</cp:coreProperties>
</file>